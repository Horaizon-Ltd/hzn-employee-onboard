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Export Summary"/>
    <sheet r:id="rId2" sheetId="2" name="File naming convention"/>
    <sheet r:id="rId3" sheetId="3" name="Mapping"/>
  </sheets>
  <calcPr fullCalcOnLoad="1"/>
</workbook>
</file>

<file path=xl/sharedStrings.xml><?xml version="1.0" encoding="utf-8"?>
<sst xmlns="http://schemas.openxmlformats.org/spreadsheetml/2006/main" count="538" uniqueCount="367">
  <si>
    <t>Danish</t>
  </si>
  <si>
    <t>CVR nummer</t>
  </si>
  <si>
    <t>CPR-nummer</t>
  </si>
  <si>
    <t>Navn</t>
  </si>
  <si>
    <t>Adresse</t>
  </si>
  <si>
    <t>Postnummer</t>
  </si>
  <si>
    <t>By</t>
  </si>
  <si>
    <t>E-mail</t>
  </si>
  <si>
    <t>Mobilnummer</t>
  </si>
  <si>
    <t>LinkedIn</t>
  </si>
  <si>
    <t>Sprog på lønsedlen</t>
  </si>
  <si>
    <t>Bil registreringsnummer</t>
  </si>
  <si>
    <t>Reg. Nr.</t>
  </si>
  <si>
    <t>Kontonummer</t>
  </si>
  <si>
    <t>IBAN</t>
  </si>
  <si>
    <t>SWIFT</t>
  </si>
  <si>
    <t>Titel</t>
  </si>
  <si>
    <t>Medarbejdernummer 1</t>
  </si>
  <si>
    <t>Medarbejdernummer 2</t>
  </si>
  <si>
    <t>Ansættelsesdato</t>
  </si>
  <si>
    <t>Anciennitetsdato</t>
  </si>
  <si>
    <t>Afdeling</t>
  </si>
  <si>
    <t>Omkostningssted</t>
  </si>
  <si>
    <t>Profitcenter</t>
  </si>
  <si>
    <t>Er aktiv</t>
  </si>
  <si>
    <t>Modtag lønsedler i e-boks</t>
  </si>
  <si>
    <t>Løntype</t>
  </si>
  <si>
    <t>Jobbeskrivelse</t>
  </si>
  <si>
    <t>P-nummer</t>
  </si>
  <si>
    <t>Indkomsttype</t>
  </si>
  <si>
    <t>Skattekort</t>
  </si>
  <si>
    <t>Ekstra trækprocent</t>
  </si>
  <si>
    <t>Indtægtsart</t>
  </si>
  <si>
    <t>Barselsfond</t>
  </si>
  <si>
    <t>ATP-type</t>
  </si>
  <si>
    <t>Fast løn</t>
  </si>
  <si>
    <t>Timeløn</t>
  </si>
  <si>
    <t>Antal timer</t>
  </si>
  <si>
    <t>Lønperiode</t>
  </si>
  <si>
    <t>Feriepengemodtager</t>
  </si>
  <si>
    <t>Feriepenge %</t>
  </si>
  <si>
    <t>Ferietillæg i %</t>
  </si>
  <si>
    <t>Feriedage pr. år</t>
  </si>
  <si>
    <t>Feriefri dage/timer pr. år</t>
  </si>
  <si>
    <t>Omsorgsdage pr. år</t>
  </si>
  <si>
    <t>Feriedage på forskud</t>
  </si>
  <si>
    <t>Fritvalg, Optjeningstype</t>
  </si>
  <si>
    <t>Fritvalg, Bidrag</t>
  </si>
  <si>
    <t>Automatisk udbetaling fritvalg</t>
  </si>
  <si>
    <t>Fritvalg, fritvalgsordning</t>
  </si>
  <si>
    <t>Fritvalg, Inkluder fritvalg i pension</t>
  </si>
  <si>
    <t>Fravær via fritvalg</t>
  </si>
  <si>
    <t>SH, optjeningstype</t>
  </si>
  <si>
    <t>SH, Bidrag</t>
  </si>
  <si>
    <t>Automatisk udbetaling brutto</t>
  </si>
  <si>
    <t>AM-indkomst</t>
  </si>
  <si>
    <t>Bidragsfri A-indkomst</t>
  </si>
  <si>
    <t>Engangsindkomst</t>
  </si>
  <si>
    <t>B-indkomst u AM-bidrag</t>
  </si>
  <si>
    <t>B-indkomst m. AM-bidrag</t>
  </si>
  <si>
    <t>Antal timer - År til dato</t>
  </si>
  <si>
    <t>Negativ løn</t>
  </si>
  <si>
    <t>ATP</t>
  </si>
  <si>
    <t>AM-bidrag, løn og feriepenge (Felt 16)</t>
  </si>
  <si>
    <t>A-skat, løn og feriepenge (Felt 15)</t>
  </si>
  <si>
    <t>G-dage</t>
  </si>
  <si>
    <t>Jubilæumsgratiale</t>
  </si>
  <si>
    <t>Fratrædelsesgodtgørelse</t>
  </si>
  <si>
    <t>Optjent fritvalg</t>
  </si>
  <si>
    <t>Fritvalg saldo</t>
  </si>
  <si>
    <t>Pension, eget bidrag</t>
  </si>
  <si>
    <t>Pension, firma bidrag</t>
  </si>
  <si>
    <t>Gruppelivsforsikring</t>
  </si>
  <si>
    <t>Gruppelivsforsikitng 2 2</t>
  </si>
  <si>
    <t>AM-pension, Eget bidrag</t>
  </si>
  <si>
    <t>AM-pension, Firmabidrag</t>
  </si>
  <si>
    <t>Fri bil</t>
  </si>
  <si>
    <t>Fri telefon</t>
  </si>
  <si>
    <t>Fri kost og logi</t>
  </si>
  <si>
    <t>Sundhedsforsikring</t>
  </si>
  <si>
    <t>Personalegode - Sundhedsforsikring - u. AM-Pension</t>
  </si>
  <si>
    <t>Sundhedsforsikring - u. AM-Pension - u. feriepenge</t>
  </si>
  <si>
    <t>Personalegode (56) - Ikke omfattet af bagatelgrænse</t>
  </si>
  <si>
    <t>Personalegode - Julegave</t>
  </si>
  <si>
    <t>Personalegode (55) - Med bundgrænse</t>
  </si>
  <si>
    <t>Kørte km, høj takst</t>
  </si>
  <si>
    <t>Kørte km, lav takst</t>
  </si>
  <si>
    <t>Befordringsgodtgørelse</t>
  </si>
  <si>
    <t>Rejsegodtgørelse - u. betaling</t>
  </si>
  <si>
    <t>Flekstimer</t>
  </si>
  <si>
    <t>Afspadsering - Timer</t>
  </si>
  <si>
    <t>Afspadsering - Beløb</t>
  </si>
  <si>
    <t>Optjent SH sidste år</t>
  </si>
  <si>
    <t>Saldo SH - sidste år</t>
  </si>
  <si>
    <t>Optjent SH - aktuelt år</t>
  </si>
  <si>
    <t>Saldo SH - aktuelt år</t>
  </si>
  <si>
    <t>Indeværende ferieår, optjente dage</t>
  </si>
  <si>
    <t>Indeværende ferieår, brugte feriedage</t>
  </si>
  <si>
    <t>Indeværende ferieår, Ferieberettiget løn</t>
  </si>
  <si>
    <t>Indeværende ferieår, Optjent ferietillæg</t>
  </si>
  <si>
    <t>Indeværende ferieår, brugt ferietillæg</t>
  </si>
  <si>
    <t>Indeværende ferieår, Feriepenge optjent (Brutto)</t>
  </si>
  <si>
    <t>Feriepenge brugt indeværende år (Brutto)</t>
  </si>
  <si>
    <t>Sidste ferieår, optjente feriedage</t>
  </si>
  <si>
    <t>Sidste ferieår, brugte feriedage</t>
  </si>
  <si>
    <t>Sidste ferieår, ferieberettiget løn</t>
  </si>
  <si>
    <t>Sidste ferieår, Optjent ferietillæg</t>
  </si>
  <si>
    <t>Sidste ferieår, Brugt ferietillæg</t>
  </si>
  <si>
    <t>Sidste ferieår, Feriepenge - optjent (Brutto)</t>
  </si>
  <si>
    <t>Feriepenge brugt sidste år (Brutto)</t>
  </si>
  <si>
    <t>Omsorgsdage Indeværende år, optjente dage</t>
  </si>
  <si>
    <t>Omsorgsdage Indeværende år, brugte dage</t>
  </si>
  <si>
    <t>Omsorgsdage sidste år, optjente dage</t>
  </si>
  <si>
    <t>Omsorgsdage sidste år, brugte dage</t>
  </si>
  <si>
    <t>Omsorgsdage forrige år, optjente dage</t>
  </si>
  <si>
    <t>Omsorgsdage forrige år, brugte dage</t>
  </si>
  <si>
    <t>Feriefridage Indeværende år, optjente dage</t>
  </si>
  <si>
    <t>Feriefridage Indeværende år, brugte dage</t>
  </si>
  <si>
    <t>Feriefridage sidste år, optjente dage</t>
  </si>
  <si>
    <t>Feriefridage sidste år, brugte dage</t>
  </si>
  <si>
    <t>Feriefridage forrige år, optjente dage</t>
  </si>
  <si>
    <t>Feriefridage forrigeår, brugte dage</t>
  </si>
  <si>
    <t>Ferie, egenbetaling dage indeværende år</t>
  </si>
  <si>
    <t>Ferie, egenbetaling beløb indeværende år</t>
  </si>
  <si>
    <t>Ferie, egenbetaling dage, sidste år</t>
  </si>
  <si>
    <t>Ferie, egenbetaling beløb, sidste år</t>
  </si>
  <si>
    <t>Ferie, egenbetaling dage, forrige år</t>
  </si>
  <si>
    <t>Ferie, egenbetaling beløb, forrige år</t>
  </si>
  <si>
    <t>Globalt værdisæt</t>
  </si>
  <si>
    <t>Global værdi</t>
  </si>
  <si>
    <t>Virksomhedsdato</t>
  </si>
  <si>
    <t>English</t>
  </si>
  <si>
    <t>CVR number</t>
  </si>
  <si>
    <t>CPR number</t>
  </si>
  <si>
    <t>Name</t>
  </si>
  <si>
    <t>Adsress</t>
  </si>
  <si>
    <t>Postal code</t>
  </si>
  <si>
    <t>City</t>
  </si>
  <si>
    <t>Phone number</t>
  </si>
  <si>
    <t>Payslip language</t>
  </si>
  <si>
    <t>Car's license plate</t>
  </si>
  <si>
    <t>Sort code</t>
  </si>
  <si>
    <t>Account number</t>
  </si>
  <si>
    <t>IBAN number</t>
  </si>
  <si>
    <t>SWIFT code</t>
  </si>
  <si>
    <t>Title</t>
  </si>
  <si>
    <t>Employee no. 1</t>
  </si>
  <si>
    <t>Employee no. 2</t>
  </si>
  <si>
    <t>Start date of employment</t>
  </si>
  <si>
    <t>Start day of ancinity</t>
  </si>
  <si>
    <t>Department number</t>
  </si>
  <si>
    <t>Cost center code</t>
  </si>
  <si>
    <t>Profit center code</t>
  </si>
  <si>
    <t>Is active</t>
  </si>
  <si>
    <t>Recieve payslips in e-Boks</t>
  </si>
  <si>
    <t>Salary type</t>
  </si>
  <si>
    <t>Job description</t>
  </si>
  <si>
    <t>P-number</t>
  </si>
  <si>
    <t>Income type</t>
  </si>
  <si>
    <t>Tax card</t>
  </si>
  <si>
    <t>Extra tax rate</t>
  </si>
  <si>
    <t>Type of employee</t>
  </si>
  <si>
    <t>Maternity fund</t>
  </si>
  <si>
    <t>ATP type</t>
  </si>
  <si>
    <t>Set Fixed Salary</t>
  </si>
  <si>
    <t>Hourly Rate</t>
  </si>
  <si>
    <t>Number of hours</t>
  </si>
  <si>
    <t>Payroll period</t>
  </si>
  <si>
    <t>Holiday pay recipient</t>
  </si>
  <si>
    <t>Holiday pay rate</t>
  </si>
  <si>
    <t>Special holiday allowance per year</t>
  </si>
  <si>
    <t>Days of holiday per year</t>
  </si>
  <si>
    <t>Extra holiday entitlement days/hours per year</t>
  </si>
  <si>
    <t>Care days per year</t>
  </si>
  <si>
    <t>Holidays in advance</t>
  </si>
  <si>
    <t>Freechoice, Payment type</t>
  </si>
  <si>
    <t>Free choice, contribution</t>
  </si>
  <si>
    <t>Freechoice, Payout balance</t>
  </si>
  <si>
    <t>Free choice plan</t>
  </si>
  <si>
    <t>Include free choice in pension calculations</t>
  </si>
  <si>
    <t>Enable absence free choice</t>
  </si>
  <si>
    <t>SH, payment type</t>
  </si>
  <si>
    <t>SH, contribution</t>
  </si>
  <si>
    <t>SH, payout balance</t>
  </si>
  <si>
    <t>AM income base</t>
  </si>
  <si>
    <t>Contribution free A-income</t>
  </si>
  <si>
    <t>Non-recurring income</t>
  </si>
  <si>
    <t>B-income without AM contribution</t>
  </si>
  <si>
    <t>B-income with AM contribution</t>
  </si>
  <si>
    <t>Negative balance salary</t>
  </si>
  <si>
    <t>AM Contribution, salary and holiday pay</t>
  </si>
  <si>
    <t>A-tax, salary and holiday pay</t>
  </si>
  <si>
    <t>G-days (days of unemployment)</t>
  </si>
  <si>
    <t>Anniversary bonus</t>
  </si>
  <si>
    <t>Redundancy compensation</t>
  </si>
  <si>
    <t>Earned free choice</t>
  </si>
  <si>
    <t>Free choice balance</t>
  </si>
  <si>
    <t>Pension - Personal contribution</t>
  </si>
  <si>
    <t>Pension - Company contributions</t>
  </si>
  <si>
    <t>Group life insurance</t>
  </si>
  <si>
    <t>Group life insurance 2 2</t>
  </si>
  <si>
    <t>AM-Pension - Personal contribution</t>
  </si>
  <si>
    <t>AM-Pension - Company contributions</t>
  </si>
  <si>
    <t>Free car</t>
  </si>
  <si>
    <t>Free phone</t>
  </si>
  <si>
    <t>Free board and lodging</t>
  </si>
  <si>
    <t>Health insurance</t>
  </si>
  <si>
    <t>Health Insurance - w/o AM-Pension</t>
  </si>
  <si>
    <t>Health Insurance - w/o AM-Pension and w/o holiday entitled pay</t>
  </si>
  <si>
    <t>Benefit - Not covered by triviality</t>
  </si>
  <si>
    <t>Benefit - Christmas present</t>
  </si>
  <si>
    <t>Benefit - With lower limit</t>
  </si>
  <si>
    <t>Driven km (high rate)</t>
  </si>
  <si>
    <t>Driven km (Low rate)</t>
  </si>
  <si>
    <t>Traveling allowance</t>
  </si>
  <si>
    <t>Travel allowance w/o payment</t>
  </si>
  <si>
    <t>Flex hours</t>
  </si>
  <si>
    <t>Time in lieu - Hours</t>
  </si>
  <si>
    <t>Time in lieu - Amount</t>
  </si>
  <si>
    <t>Earned SH - Last year</t>
  </si>
  <si>
    <t>SH balance - Last year</t>
  </si>
  <si>
    <t>Earned SH - Current year</t>
  </si>
  <si>
    <t>SH balance - Current year</t>
  </si>
  <si>
    <t>Earned days the holiday year in question. current year</t>
  </si>
  <si>
    <t>Spent days of holiday - current year</t>
  </si>
  <si>
    <t>Holiday entitled salary - curent year</t>
  </si>
  <si>
    <t>Earned special holiday allowance - current year</t>
  </si>
  <si>
    <t>Spent special holiday allowance - current year</t>
  </si>
  <si>
    <t>Holiday pay gross - Earned - current year</t>
  </si>
  <si>
    <t>Earned days the holiday year in question. last year</t>
  </si>
  <si>
    <t>Spent days of holiday - last year</t>
  </si>
  <si>
    <t>Holiday entitled salary - last year</t>
  </si>
  <si>
    <t>Earned special holiday allowance - last year</t>
  </si>
  <si>
    <t>Spent special holiday allowance - lastyear</t>
  </si>
  <si>
    <t>Holiday pay gross - Earned - last year</t>
  </si>
  <si>
    <t>Care days - Earned - Current year</t>
  </si>
  <si>
    <t>Care days - Used - Current year</t>
  </si>
  <si>
    <t>Care days - Earned - Last year</t>
  </si>
  <si>
    <t>Care days - Used - Last year</t>
  </si>
  <si>
    <t>Care days - Earned - Before last year</t>
  </si>
  <si>
    <t>Care days - Used - Before last year</t>
  </si>
  <si>
    <t>Extra holiday entitlement days/hours - Earned - current year</t>
  </si>
  <si>
    <t>Extra holiday entitlement days/hours - Used- current year</t>
  </si>
  <si>
    <t>Extra holiday entitlement days/hours - Earned - last year</t>
  </si>
  <si>
    <t>Extra holiday entitlement days/hours - Used - last year</t>
  </si>
  <si>
    <t>Extra holiday entitlement days/hours - Earned - before last year</t>
  </si>
  <si>
    <t>Extra holiday entitlement days/hours - Used - before last year</t>
  </si>
  <si>
    <t>Holiday at own expense - Days - current year</t>
  </si>
  <si>
    <t>Holiday at own expense - Amount - current year</t>
  </si>
  <si>
    <t>Holiday at own expense - Days - last year</t>
  </si>
  <si>
    <t>Holiday at own expense - Amount - last year</t>
  </si>
  <si>
    <t>Holiday at own expense - Days - before last year</t>
  </si>
  <si>
    <t>Holiday at own expense - Amount - before last year</t>
  </si>
  <si>
    <t>Global value set ID</t>
  </si>
  <si>
    <t>Global value ID</t>
  </si>
  <si>
    <t>Field in Danløn</t>
  </si>
  <si>
    <t>CVR</t>
  </si>
  <si>
    <t>Postnummer og By</t>
  </si>
  <si>
    <t>Mobiltelefon</t>
  </si>
  <si>
    <t>Reg.nr.</t>
  </si>
  <si>
    <t>BIC(SWIFT)</t>
  </si>
  <si>
    <t>Stillingsbetegnelse</t>
  </si>
  <si>
    <t>Medarb.nr.</t>
  </si>
  <si>
    <t>Bogføringsgruppe</t>
  </si>
  <si>
    <t>Aktiv</t>
  </si>
  <si>
    <t>Send lønseddel via e-boks</t>
  </si>
  <si>
    <t>Ferieordning</t>
  </si>
  <si>
    <t>Produktionsenhed</t>
  </si>
  <si>
    <t>Frivillig ekstra trækprocent</t>
  </si>
  <si>
    <t>Barsel</t>
  </si>
  <si>
    <t>ATP-ordning</t>
  </si>
  <si>
    <t>Gage - Udbetalt</t>
  </si>
  <si>
    <t>timeløn</t>
  </si>
  <si>
    <t>Gage - Grundlag</t>
  </si>
  <si>
    <t>Ferietillæg %</t>
  </si>
  <si>
    <t>Ferie pr år</t>
  </si>
  <si>
    <t>Feriefridage pr år</t>
  </si>
  <si>
    <t>Omsorgsdage pr år</t>
  </si>
  <si>
    <t>Fritvalgsordning 1 %</t>
  </si>
  <si>
    <t>Fritvalgsordning 1</t>
  </si>
  <si>
    <t>SH %</t>
  </si>
  <si>
    <t>AM-indkomst - År til dato</t>
  </si>
  <si>
    <t>Bidragsfri A-indkomst - År til dato</t>
  </si>
  <si>
    <t>engangsindkomst</t>
  </si>
  <si>
    <t>B-indkomst u AM-bidrag - År til dato</t>
  </si>
  <si>
    <t>B-indkomst m. AM-bidrag - år til dato</t>
  </si>
  <si>
    <t>Timer - År til dato</t>
  </si>
  <si>
    <t>ATP - År til dato</t>
  </si>
  <si>
    <t>Samlet AM-bidrag - År til dato</t>
  </si>
  <si>
    <t>Samlet A-skat - År til dato</t>
  </si>
  <si>
    <t>Optjent fritvalg - År til dato</t>
  </si>
  <si>
    <t>Fritvalg 1 udbetalt - År til dato</t>
  </si>
  <si>
    <t>Pension, eget bidrag - År til dato</t>
  </si>
  <si>
    <t>Pension, firmabidrag - År til dato</t>
  </si>
  <si>
    <t>Gruppe liv</t>
  </si>
  <si>
    <t>Gruppeliv 2</t>
  </si>
  <si>
    <t>Eget bidrag AMP - År til dato</t>
  </si>
  <si>
    <t>Firma bidrag AMP - År til dato</t>
  </si>
  <si>
    <t>Fri bil - År til dato</t>
  </si>
  <si>
    <t>Fri telefon - År til dato</t>
  </si>
  <si>
    <t>Fri kost og logi Lønseddel</t>
  </si>
  <si>
    <t>Sundhedsforsikring - Grundlag</t>
  </si>
  <si>
    <t>Kilometer - År til dato</t>
  </si>
  <si>
    <t>Skattefri rejse/befordring - År til dato</t>
  </si>
  <si>
    <t>Flexsaldo</t>
  </si>
  <si>
    <t>Afspadsering, timer til gode</t>
  </si>
  <si>
    <t>Afspadsering, beløb til gode</t>
  </si>
  <si>
    <t>Optjent dage n+1</t>
  </si>
  <si>
    <t>Afholdt dage n+1</t>
  </si>
  <si>
    <t>(calculated field)</t>
  </si>
  <si>
    <t>Optjent n+1</t>
  </si>
  <si>
    <t>Optjent dage n</t>
  </si>
  <si>
    <t>Afholdt dage n</t>
  </si>
  <si>
    <t>Optjent n</t>
  </si>
  <si>
    <t>Feriefridage tilgode - Perioden</t>
  </si>
  <si>
    <t>File containing value</t>
  </si>
  <si>
    <t>Medarbejder Stamkort</t>
  </si>
  <si>
    <t>Medarbejder Stamkort, Medarbejderliste, Lønseddel</t>
  </si>
  <si>
    <t>Lønseddel</t>
  </si>
  <si>
    <t>Medarbejderliste</t>
  </si>
  <si>
    <t>Feriepengeforpligtelse</t>
  </si>
  <si>
    <t>Data Quality Controls</t>
  </si>
  <si>
    <t>string</t>
  </si>
  <si>
    <t>da, en</t>
  </si>
  <si>
    <t>boolean</t>
  </si>
  <si>
    <t>float</t>
  </si>
  <si>
    <t>Mapping Guidance</t>
  </si>
  <si>
    <t>(XXXXXX-XXXX)</t>
  </si>
  <si>
    <t>Default is 'da'</t>
  </si>
  <si>
    <t>(XXXX)</t>
  </si>
  <si>
    <t>(XXXXXXXXXX)</t>
  </si>
  <si>
    <t>(DD-MM-YYYY)</t>
  </si>
  <si>
    <t>Ingen afdelinger = STANDARD</t>
  </si>
  <si>
    <t>Ja, Nej</t>
  </si>
  <si>
    <t>Tilmeldt = TRUE
 FALSE = FALSE</t>
  </si>
  <si>
    <t>Løbende (feriekasse) = TIMELØNNET (MED FERIEPENGE)
Ingen = TIMELØNNET (UDEN FERIEPENGE)
Ferie med løn = FAST LØN
Løbende (eget) = TIMELØNNET (MED FERIEPENGE)</t>
  </si>
  <si>
    <t>A-Indkomstmodtager/lønansat (kode 00) = A-INDKOMSTMODTAGER/LØNANSAT (KODE 00)
Anden personlig indkomst/ej lønansat (kode 04) = ANDEN PERSONLIG INDKOMST/EJ LØNANSAT (kode 04)
B-indkomst modtager/ej lønansat (kode 05) = B-INDKOMST MODTAGER/EJ LØNANSAT (KODE 05)
§48E (forskerordningen) (kode 08) = § 48 E (FORSKERORDNINGEN) (KODE 08)
Skattefri indkomst (kode 09) - udlændinge = SKATTEFRI INDKOMST (KODE 09)
Skattefri indkomst (kode 09) - danskere = SKATTEFRI INDKOMST (KODE 09)</t>
  </si>
  <si>
    <t>MISSING</t>
  </si>
  <si>
    <t>Direktør = Direktør
'BLANK' = MEDARBEJDER
Hovedaktionær = HOVEDAKTIONÆR</t>
  </si>
  <si>
    <t>Barsel.dk - fuldt medlem = BARSEL.DK
Frivillig DA barsel = DA BARSEL
Obligatorisk DA barsel = DA BARSEL
Barsel.dk - delvis medlem = BARSEL.DK - DELVIST MEDLEM
Anden barselsordning = ANDEN BARSELSFOND</t>
  </si>
  <si>
    <t>Almindelig (A) = ALMINDELING A
Ingen = None
Anything else = ALMINDELING A</t>
  </si>
  <si>
    <t>Måned bagud = BAGUDBETALT MÅNEDSLØN
14-dags = 14 DAGE
(BLANK) = FORUDBETAL MÅNEDSLØN</t>
  </si>
  <si>
    <t>Anden Ferieordning = Anden ferieordning
FerieKonto = FerieKonto
3F Feriekasse = 3F feriekasse</t>
  </si>
  <si>
    <t>Optjening = Optjening
Løbende udbetaling = Løbende udbetaling
Ingen = ingen</t>
  </si>
  <si>
    <t>G</t>
  </si>
  <si>
    <t>H</t>
  </si>
  <si>
    <t>For current year, can also be found in "Lønseddel" as 'Ferieberettigende løn 2024'</t>
  </si>
  <si>
    <t>For current year, can also be found in "Lønseddel" as 'Optjent ferietillæg 2024'</t>
  </si>
  <si>
    <t>I</t>
  </si>
  <si>
    <t>C</t>
  </si>
  <si>
    <t>D</t>
  </si>
  <si>
    <t>E</t>
  </si>
  <si>
    <t>Additional Comments</t>
  </si>
  <si>
    <t>Not in any of the reports we have. Follow up to see if any other reports have them.</t>
  </si>
  <si>
    <t>Report Name</t>
  </si>
  <si>
    <t>File Saved as</t>
  </si>
  <si>
    <t>DanlonRapport (2).pdf</t>
  </si>
  <si>
    <t>DanlonRapport (3).pdf</t>
  </si>
  <si>
    <t>KBG Danlon-lonseddel 1.pdf</t>
  </si>
  <si>
    <t>Feriepengeforpligtelse.xlsx</t>
  </si>
  <si>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</si>
  <si>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</si>
  <si>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</si>
  <si>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</si>
  <si>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File naming convention</t>
  </si>
  <si>
    <t>Table 1</t>
  </si>
  <si>
    <t>Mapping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</si>
</sst>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0" x14ac:knownFonts="1">
    <font>
      <sz val="11"/>
      <color theme="1"/>
      <name val="Calibri"/>
      <family val="2"/>
      <scheme val="minor"/>
    </font>
    <font>
      <sz val="12"/>
      <color rgb="FF000000"/>
      <name val="Calibri"/>
      <family val="2"/>
    </font>
    <font>
      <sz val="11"/>
      <color rgb="FF000000"/>
      <name val="Arial"/>
      <family val="2"/>
    </font>
    <font>
      <sz val="11"/>
      <color rgb="FF008080"/>
      <name val="Calibri"/>
      <family val="2"/>
    </font>
    <font>
      <sz val="11"/>
      <color rgb="FF000000"/>
      <name val="Calibri"/>
      <family val="2"/>
    </font>
    <font>
      <sz val="11"/>
      <color rgb="FF000000"/>
      <name val="Roboto"/>
      <family val="2"/>
    </font>
    <font>
      <sz val="12"/>
      <color rgb="FFff00ff"/>
      <name val="Calibri"/>
      <family val="2"/>
    </font>
    <font>
      <u/>
      <sz val="11"/>
      <color rgb="FF9999ff"/>
      <name val="Arial"/>
      <family val="2"/>
    </font>
    <font>
      <sz val="14"/>
      <color rgb="FF000000"/>
      <name val="Calibri"/>
      <family val="2"/>
    </font>
    <font>
      <u/>
      <sz val="12"/>
      <color rgb="FF00ff00"/>
      <name val="Calibri"/>
      <family val="2"/>
    </font>
  </fonts>
  <fills count="12">
    <fill>
      <patternFill patternType="none"/>
    </fill>
    <fill>
      <patternFill patternType="gray125"/>
    </fill>
    <fill>
      <patternFill patternType="solid">
        <fgColor rgb="FF0000ff"/>
      </patternFill>
    </fill>
    <fill>
      <patternFill patternType="solid">
        <fgColor rgb="FFff00ff"/>
      </patternFill>
    </fill>
    <fill>
      <patternFill patternType="solid">
        <fgColor rgb="FF800000"/>
      </patternFill>
    </fill>
    <fill>
      <patternFill patternType="solid">
        <fgColor rgb="FF000080"/>
      </patternFill>
    </fill>
    <fill>
      <patternFill patternType="solid">
        <fgColor rgb="FF008000"/>
      </patternFill>
    </fill>
    <fill>
      <patternFill patternType="solid">
        <fgColor rgb="FF800080"/>
      </patternFill>
    </fill>
    <fill>
      <patternFill patternType="solid">
        <fgColor rgb="FFc0c0c0"/>
      </patternFill>
    </fill>
    <fill>
      <patternFill patternType="solid">
        <fgColor rgb="FF808080"/>
      </patternFill>
    </fill>
    <fill>
      <patternFill patternType="solid">
        <fgColor rgb="FFffffff"/>
      </patternFill>
    </fill>
    <fill>
      <patternFill patternType="solid">
        <fgColor rgb="FFff0000"/>
      </patternFill>
    </fill>
  </fills>
  <borders count="38">
    <border>
      <left/>
      <right/>
      <top/>
      <bottom/>
      <diagonal/>
    </border>
    <border>
      <left style="thin">
        <color rgb="FFffff00"/>
      </left>
      <right style="medium">
        <color rgb="FF000000"/>
      </right>
      <top style="thin">
        <color rgb="FFffff00"/>
      </top>
      <bottom style="thin">
        <color rgb="FFffff00"/>
      </bottom>
      <diagonal/>
    </border>
    <border>
      <left style="medium">
        <color rgb="FF000000"/>
      </left>
      <right style="thin">
        <color rgb="FF00ffff"/>
      </right>
      <top style="medium">
        <color rgb="FF000000"/>
      </top>
      <bottom style="thin">
        <color rgb="FF00ffff"/>
      </bottom>
      <diagonal/>
    </border>
    <border>
      <left style="thin">
        <color rgb="FF00ffff"/>
      </left>
      <right style="thin">
        <color rgb="FF00ffff"/>
      </right>
      <top style="medium">
        <color rgb="FF000000"/>
      </top>
      <bottom style="medium">
        <color rgb="FF000000"/>
      </bottom>
      <diagonal/>
    </border>
    <border>
      <left style="thin">
        <color rgb="FF00ffff"/>
      </left>
      <right style="thin">
        <color rgb="FF00ffff"/>
      </right>
      <top style="medium">
        <color rgb="FF000000"/>
      </top>
      <bottom style="thin">
        <color rgb="FF00ffff"/>
      </bottom>
      <diagonal/>
    </border>
    <border>
      <left style="thin">
        <color rgb="FF00ffff"/>
      </left>
      <right style="thin">
        <color rgb="FF00ffff"/>
      </right>
      <top style="thin">
        <color rgb="FF00ffff"/>
      </top>
      <bottom style="thin">
        <color rgb="FF00ffff"/>
      </bottom>
      <diagonal/>
    </border>
    <border>
      <left style="thin">
        <color rgb="FFffff00"/>
      </left>
      <right style="thin">
        <color rgb="FF00ffff"/>
      </right>
      <top style="thin">
        <color rgb="FFffff00"/>
      </top>
      <bottom style="thin">
        <color rgb="FFffff00"/>
      </bottom>
      <diagonal/>
    </border>
    <border>
      <left style="thin">
        <color rgb="FF00ffff"/>
      </left>
      <right style="thin">
        <color rgb="FFffff00"/>
      </right>
      <top style="medium">
        <color rgb="FF000000"/>
      </top>
      <bottom style="thin">
        <color rgb="FFffff00"/>
      </bottom>
      <diagonal/>
    </border>
    <border>
      <left style="thin">
        <color rgb="FFffff00"/>
      </left>
      <right style="thin">
        <color rgb="FFffff00"/>
      </right>
      <top style="medium">
        <color rgb="FF000000"/>
      </top>
      <bottom style="thin">
        <color rgb="FFffff00"/>
      </bottom>
      <diagonal/>
    </border>
    <border>
      <left style="thin">
        <color rgb="FFffff00"/>
      </left>
      <right style="thin">
        <color rgb="FF00ffff"/>
      </right>
      <top style="medium">
        <color rgb="FF000000"/>
      </top>
      <bottom style="thin">
        <color rgb="FFffff00"/>
      </bottom>
      <diagonal/>
    </border>
    <border>
      <left style="thin">
        <color rgb="FFffff00"/>
      </left>
      <right style="thin">
        <color rgb="FFffff00"/>
      </right>
      <top style="thin">
        <color rgb="FF00ffff"/>
      </top>
      <bottom style="thin">
        <color rgb="FFffff00"/>
      </bottom>
      <diagonal/>
    </border>
    <border>
      <left style="thin">
        <color rgb="FF00ffff"/>
      </left>
      <right style="thin">
        <color rgb="FFffff00"/>
      </right>
      <top style="thin">
        <color rgb="FFffff00"/>
      </top>
      <bottom style="thin">
        <color rgb="FFffff00"/>
      </bottom>
      <diagonal/>
    </border>
    <border>
      <left style="thin">
        <color rgb="FFffff00"/>
      </left>
      <right style="thin">
        <color rgb="FFffff00"/>
      </right>
      <top style="thin">
        <color rgb="FFffff00"/>
      </top>
      <bottom style="thin">
        <color rgb="FFffff00"/>
      </bottom>
      <diagonal/>
    </border>
    <border>
      <left style="thin">
        <color rgb="FFffff00"/>
      </left>
      <right style="thin">
        <color rgb="FF00ffff"/>
      </right>
      <top style="thin">
        <color rgb="FFffff00"/>
      </top>
      <bottom style="thin">
        <color rgb="FF00ffff"/>
      </bottom>
      <diagonal/>
    </border>
    <border>
      <left style="thin">
        <color rgb="FF00ffff"/>
      </left>
      <right style="thin">
        <color rgb="FFffff00"/>
      </right>
      <top style="thin">
        <color rgb="FFffff00"/>
      </top>
      <bottom style="thin">
        <color rgb="FF00ffff"/>
      </bottom>
      <diagonal/>
    </border>
    <border>
      <left style="thin">
        <color rgb="FFffff00"/>
      </left>
      <right style="thin">
        <color rgb="FFffff00"/>
      </right>
      <top style="thin">
        <color rgb="FFffff00"/>
      </top>
      <bottom style="thin">
        <color rgb="FF00ffff"/>
      </bottom>
      <diagonal/>
    </border>
    <border>
      <left style="thin">
        <color rgb="FFffff00"/>
      </left>
      <right style="thin">
        <color rgb="FFffff00"/>
      </right>
      <top style="thin">
        <color rgb="FFffff00"/>
      </top>
      <bottom style="thick">
        <color rgb="FF008000"/>
      </bottom>
      <diagonal/>
    </border>
    <border>
      <left style="thin">
        <color rgb="FFffff00"/>
      </left>
      <right style="thin">
        <color rgb="FFffff00"/>
      </right>
      <top style="thin">
        <color rgb="FFffff00"/>
      </top>
      <bottom style="thick">
        <color rgb="FFff00ff"/>
      </bottom>
      <diagonal/>
    </border>
    <border>
      <left style="thin">
        <color rgb="FF00ffff"/>
      </left>
      <right style="thin">
        <color rgb="FF00ffff"/>
      </right>
      <top style="thin">
        <color rgb="FF00ffff"/>
      </top>
      <bottom style="medium">
        <color rgb="FF808000"/>
      </bottom>
      <diagonal/>
    </border>
    <border>
      <left style="thin">
        <color rgb="FF00ffff"/>
      </left>
      <right style="thick">
        <color rgb="FF008000"/>
      </right>
      <top style="thin">
        <color rgb="FF00ffff"/>
      </top>
      <bottom style="thin">
        <color rgb="FF00ffff"/>
      </bottom>
      <diagonal/>
    </border>
    <border>
      <left style="thick">
        <color rgb="FF008000"/>
      </left>
      <right style="thick">
        <color rgb="FF008000"/>
      </right>
      <top style="thick">
        <color rgb="FF008000"/>
      </top>
      <bottom style="thin">
        <color rgb="FF00ffff"/>
      </bottom>
      <diagonal/>
    </border>
    <border>
      <left style="thick">
        <color rgb="FF008000"/>
      </left>
      <right style="thin">
        <color rgb="FF00ffff"/>
      </right>
      <top style="thick">
        <color rgb="FF008000"/>
      </top>
      <bottom style="thin">
        <color rgb="FF00ffff"/>
      </bottom>
      <diagonal/>
    </border>
    <border>
      <left style="thick">
        <color rgb="FF008000"/>
      </left>
      <right style="thick">
        <color rgb="FFff00ff"/>
      </right>
      <top style="thick">
        <color rgb="FF008000"/>
      </top>
      <bottom style="thin">
        <color rgb="FF00ffff"/>
      </bottom>
      <diagonal/>
    </border>
    <border>
      <left style="thick">
        <color rgb="FFff00ff"/>
      </left>
      <right style="thick">
        <color rgb="FFff00ff"/>
      </right>
      <top style="thick">
        <color rgb="FFff00ff"/>
      </top>
      <bottom style="thin">
        <color rgb="FF00ffff"/>
      </bottom>
      <diagonal/>
    </border>
    <border>
      <left style="thick">
        <color rgb="FFff00ff"/>
      </left>
      <right style="thin">
        <color rgb="FF00ffff"/>
      </right>
      <top style="thick">
        <color rgb="FFff00ff"/>
      </top>
      <bottom style="thin">
        <color rgb="FF00ffff"/>
      </bottom>
      <diagonal/>
    </border>
    <border>
      <left style="thin">
        <color rgb="FF00ffff"/>
      </left>
      <right style="medium">
        <color rgb="FF808000"/>
      </right>
      <top style="thin">
        <color rgb="FF00ffff"/>
      </top>
      <bottom style="thin">
        <color rgb="FF00ffff"/>
      </bottom>
      <diagonal/>
    </border>
    <border>
      <left style="medium">
        <color rgb="FF808000"/>
      </left>
      <right style="thin">
        <color rgb="FF00ffff"/>
      </right>
      <top style="medium">
        <color rgb="FF808000"/>
      </top>
      <bottom style="thin">
        <color rgb="FF00ffff"/>
      </bottom>
      <diagonal/>
    </border>
    <border>
      <left style="thick">
        <color rgb="FF008000"/>
      </left>
      <right style="thin">
        <color rgb="FF00ffff"/>
      </right>
      <top style="thin">
        <color rgb="FF00ffff"/>
      </top>
      <bottom style="thin">
        <color rgb="FF00ffff"/>
      </bottom>
      <diagonal/>
    </border>
    <border>
      <left style="thin">
        <color rgb="FF00ffff"/>
      </left>
      <right style="thin">
        <color rgb="FF00ffff"/>
      </right>
      <top style="thin">
        <color rgb="FF00ffff"/>
      </top>
      <bottom style="thin">
        <color rgb="FFffff00"/>
      </bottom>
      <diagonal/>
    </border>
    <border>
      <left style="thick">
        <color rgb="FF008000"/>
      </left>
      <right style="thin">
        <color rgb="FF00ffff"/>
      </right>
      <top style="thin">
        <color rgb="FF00ffff"/>
      </top>
      <bottom style="thick">
        <color rgb="FF008000"/>
      </bottom>
      <diagonal/>
    </border>
    <border>
      <left style="thin">
        <color rgb="FF00ffff"/>
      </left>
      <right style="thin">
        <color rgb="FFffff00"/>
      </right>
      <top style="thin">
        <color rgb="FF00ffff"/>
      </top>
      <bottom style="thin">
        <color rgb="FFffff00"/>
      </bottom>
      <diagonal/>
    </border>
    <border>
      <left style="thin">
        <color rgb="FFffff00"/>
      </left>
      <right style="thin">
        <color rgb="FF00ffff"/>
      </right>
      <top style="thin">
        <color rgb="FF00ffff"/>
      </top>
      <bottom style="thin">
        <color rgb="FFffff00"/>
      </bottom>
      <diagonal/>
    </border>
    <border>
      <left style="thin">
        <color rgb="FFffff00"/>
      </left>
      <right style="thick">
        <color rgb="FF008000"/>
      </right>
      <top style="thin">
        <color rgb="FF00ffff"/>
      </top>
      <bottom style="thin">
        <color rgb="FFffff00"/>
      </bottom>
      <diagonal/>
    </border>
    <border>
      <left style="thick">
        <color rgb="FF008000"/>
      </left>
      <right style="thick">
        <color rgb="FF008000"/>
      </right>
      <top style="thick">
        <color rgb="FF008000"/>
      </top>
      <bottom style="thick">
        <color rgb="FF008000"/>
      </bottom>
      <diagonal/>
    </border>
    <border>
      <left style="thick">
        <color rgb="FF008000"/>
      </left>
      <right style="thin">
        <color rgb="FFffff00"/>
      </right>
      <top style="thin">
        <color rgb="FF00ffff"/>
      </top>
      <bottom style="thin">
        <color rgb="FFffff00"/>
      </bottom>
      <diagonal/>
    </border>
    <border>
      <left style="thin">
        <color rgb="FFffff00"/>
      </left>
      <right style="thin">
        <color rgb="FFffff00"/>
      </right>
      <top style="thick">
        <color rgb="FF008000"/>
      </top>
      <bottom style="thin">
        <color rgb="FFffff00"/>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76">
    <xf xfId="0" numFmtId="0" borderId="0" fontId="0" fillId="0"/>
    <xf xfId="0" numFmtId="0" borderId="1" applyBorder="1" fontId="1" applyFont="1" fillId="2" applyFill="1" applyAlignment="1">
      <alignment horizontal="left"/>
    </xf>
    <xf xfId="0" numFmtId="0" borderId="2" applyBorder="1" fontId="1" applyFont="1" fillId="3" applyFill="1" applyAlignment="1">
      <alignment horizontal="left"/>
    </xf>
    <xf xfId="0" numFmtId="0" borderId="3" applyBorder="1" fontId="1" applyFont="1" fillId="4" applyFill="1" applyAlignment="1">
      <alignment horizontal="left"/>
    </xf>
    <xf xfId="0" numFmtId="0" borderId="4" applyBorder="1" fontId="1" applyFont="1" fillId="3" applyFill="1" applyAlignment="1">
      <alignment horizontal="left"/>
    </xf>
    <xf xfId="0" numFmtId="0" borderId="3" applyBorder="1" fontId="2" applyFont="1" fillId="4" applyFill="1" applyAlignment="1">
      <alignment horizontal="left"/>
    </xf>
    <xf xfId="0" numFmtId="0" borderId="5" applyBorder="1" fontId="1" applyFont="1" fillId="4" applyFill="1" applyAlignment="1">
      <alignment horizontal="left"/>
    </xf>
    <xf xfId="0" numFmtId="0" borderId="6" applyBorder="1" fontId="1" applyFont="1" fillId="2" applyFill="1" applyAlignment="1">
      <alignment horizontal="left"/>
    </xf>
    <xf xfId="0" numFmtId="0" borderId="5" applyBorder="1" fontId="1" applyFont="1" fillId="3" applyFill="1" applyAlignment="1">
      <alignment horizontal="left"/>
    </xf>
    <xf xfId="0" numFmtId="0" borderId="7" applyBorder="1" fontId="1" applyFont="1" fillId="2" applyFill="1" applyAlignment="1">
      <alignment horizontal="left"/>
    </xf>
    <xf xfId="0" numFmtId="0" borderId="8" applyBorder="1" fontId="1" applyFont="1" fillId="2" applyFill="1" applyAlignment="1">
      <alignment horizontal="left"/>
    </xf>
    <xf xfId="0" numFmtId="0" borderId="9" applyBorder="1" fontId="1" applyFont="1" fillId="2" applyFill="1" applyAlignment="1">
      <alignment horizontal="left"/>
    </xf>
    <xf xfId="0" numFmtId="0" borderId="10" applyBorder="1" fontId="1" applyFont="1" fillId="2" applyFill="1" applyAlignment="1">
      <alignment horizontal="left"/>
    </xf>
    <xf xfId="0" numFmtId="0" borderId="5" applyBorder="1" fontId="2" applyFont="1" fillId="3" applyFill="1" applyAlignment="1">
      <alignment horizontal="left"/>
    </xf>
    <xf xfId="0" numFmtId="0" borderId="11" applyBorder="1" fontId="2" applyFont="1" fillId="2" applyFill="1" applyAlignment="1">
      <alignment horizontal="left"/>
    </xf>
    <xf xfId="0" numFmtId="0" borderId="12" applyBorder="1" fontId="2" applyFont="1" fillId="2" applyFill="1" applyAlignment="1">
      <alignment horizontal="left"/>
    </xf>
    <xf xfId="0" numFmtId="0" borderId="6" applyBorder="1" fontId="2" applyFont="1" fillId="2" applyFill="1" applyAlignment="1">
      <alignment horizontal="left"/>
    </xf>
    <xf xfId="0" numFmtId="0" borderId="13" applyBorder="1" fontId="1" applyFont="1" fillId="2" applyFill="1" applyAlignment="1">
      <alignment horizontal="left"/>
    </xf>
    <xf xfId="0" numFmtId="0" borderId="14" applyBorder="1" fontId="2" applyFont="1" fillId="2" applyFill="1" applyAlignment="1">
      <alignment horizontal="left"/>
    </xf>
    <xf xfId="0" numFmtId="0" borderId="15" applyBorder="1" fontId="2" applyFont="1" fillId="2" applyFill="1" applyAlignment="1">
      <alignment horizontal="left"/>
    </xf>
    <xf xfId="0" numFmtId="0" borderId="13" applyBorder="1" fontId="2" applyFont="1" fillId="2" applyFill="1" applyAlignment="1">
      <alignment horizontal="left"/>
    </xf>
    <xf xfId="0" numFmtId="0" borderId="16" applyBorder="1" fontId="2" applyFont="1" fillId="2" applyFill="1" applyAlignment="1">
      <alignment horizontal="left"/>
    </xf>
    <xf xfId="0" numFmtId="0" borderId="17" applyBorder="1" fontId="2" applyFont="1" fillId="2" applyFill="1" applyAlignment="1">
      <alignment horizontal="left"/>
    </xf>
    <xf xfId="0" numFmtId="0" borderId="5" applyBorder="1" fontId="1" applyFont="1" fillId="5" applyFill="1" applyAlignment="1">
      <alignment horizontal="left"/>
    </xf>
    <xf xfId="0" numFmtId="0" borderId="18" applyBorder="1" fontId="1" applyFont="1" fillId="5" applyFill="1" applyAlignment="1">
      <alignment horizontal="left"/>
    </xf>
    <xf xfId="0" numFmtId="0" borderId="5" applyBorder="1" fontId="1" applyFont="1" fillId="6" applyFill="1" applyAlignment="1">
      <alignment horizontal="left"/>
    </xf>
    <xf xfId="0" numFmtId="0" borderId="19" applyBorder="1" fontId="1" applyFont="1" fillId="5" applyFill="1" applyAlignment="1">
      <alignment horizontal="left"/>
    </xf>
    <xf xfId="0" numFmtId="0" borderId="20" applyBorder="1" fontId="1" applyFont="1" fillId="5" applyFill="1" applyAlignment="1">
      <alignment horizontal="left"/>
    </xf>
    <xf xfId="0" numFmtId="0" borderId="21" applyBorder="1" fontId="1" applyFont="1" fillId="5" applyFill="1" applyAlignment="1">
      <alignment horizontal="left"/>
    </xf>
    <xf xfId="0" numFmtId="0" borderId="22" applyBorder="1" fontId="1" applyFont="1" fillId="5" applyFill="1" applyAlignment="1">
      <alignment horizontal="left"/>
    </xf>
    <xf xfId="0" numFmtId="0" borderId="23" applyBorder="1" fontId="1" applyFont="1" fillId="5" applyFill="1" applyAlignment="1">
      <alignment horizontal="left"/>
    </xf>
    <xf xfId="0" numFmtId="0" borderId="24" applyBorder="1" fontId="1" applyFont="1" fillId="5" applyFill="1" applyAlignment="1">
      <alignment horizontal="left"/>
    </xf>
    <xf xfId="0" numFmtId="0" borderId="5" applyBorder="1" fontId="1" applyFont="1" fillId="7" applyFill="1" applyAlignment="1">
      <alignment horizontal="center"/>
    </xf>
    <xf xfId="0" numFmtId="0" borderId="5" applyBorder="1" fontId="1" applyFont="1" fillId="7" applyFill="1" applyAlignment="1">
      <alignment horizontal="left"/>
    </xf>
    <xf xfId="0" numFmtId="0" borderId="25" applyBorder="1" fontId="1" applyFont="1" fillId="7" applyFill="1" applyAlignment="1">
      <alignment horizontal="left"/>
    </xf>
    <xf xfId="0" numFmtId="0" borderId="26" applyBorder="1" fontId="1" applyFont="1" fillId="7" applyFill="1" applyAlignment="1">
      <alignment horizontal="left" wrapText="1"/>
    </xf>
    <xf xfId="0" numFmtId="0" borderId="19" applyBorder="1" fontId="1" applyFont="1" fillId="7" applyFill="1" applyAlignment="1">
      <alignment horizontal="left"/>
    </xf>
    <xf xfId="0" numFmtId="0" borderId="27" applyBorder="1" fontId="1" applyFont="1" fillId="7" applyFill="1" applyAlignment="1">
      <alignment horizontal="left"/>
    </xf>
    <xf xfId="0" numFmtId="0" borderId="5" applyBorder="1" fontId="3" applyFont="1" fillId="7" applyFill="1" applyAlignment="1">
      <alignment horizontal="left"/>
    </xf>
    <xf xfId="0" numFmtId="0" borderId="5" applyBorder="1" fontId="4" applyFont="1" fillId="2" applyFill="1" applyAlignment="1">
      <alignment horizontal="left"/>
    </xf>
    <xf xfId="0" numFmtId="0" borderId="5" applyBorder="1" fontId="2" applyFont="1" fillId="7" applyFill="1" applyAlignment="1">
      <alignment horizontal="left"/>
    </xf>
    <xf xfId="0" numFmtId="0" borderId="5" applyBorder="1" fontId="2" applyFont="1" fillId="8" applyFill="1" applyAlignment="1">
      <alignment horizontal="left"/>
    </xf>
    <xf xfId="0" numFmtId="0" borderId="5" applyBorder="1" fontId="2" applyFont="1" fillId="9" applyFill="1" applyAlignment="1">
      <alignment horizontal="left"/>
    </xf>
    <xf xfId="0" numFmtId="0" borderId="28" applyBorder="1" fontId="2" applyFont="1" fillId="2" applyFill="1" applyAlignment="1">
      <alignment horizontal="left"/>
    </xf>
    <xf xfId="0" numFmtId="0" borderId="5" applyBorder="1" fontId="2" applyFont="1" fillId="2" applyFill="1" applyAlignment="1">
      <alignment horizontal="left"/>
    </xf>
    <xf xfId="0" numFmtId="0" borderId="5" applyBorder="1" fontId="2" applyFont="1" fillId="8" applyFill="1" applyAlignment="1">
      <alignment horizontal="left"/>
    </xf>
    <xf xfId="0" numFmtId="0" borderId="19" applyBorder="1" fontId="2" applyFont="1" fillId="8" applyFill="1" applyAlignment="1">
      <alignment horizontal="left"/>
    </xf>
    <xf xfId="0" numFmtId="0" borderId="29" applyBorder="1" fontId="2" applyFont="1" fillId="8" applyFill="1" applyAlignment="1">
      <alignment horizontal="left"/>
    </xf>
    <xf xfId="0" numFmtId="0" borderId="30" applyBorder="1" fontId="2" applyFont="1" fillId="2" applyFill="1" applyAlignment="1">
      <alignment horizontal="left"/>
    </xf>
    <xf xfId="0" numFmtId="0" borderId="10" applyBorder="1" fontId="4" applyFont="1" fillId="2" applyFill="1" applyAlignment="1">
      <alignment horizontal="left"/>
    </xf>
    <xf xfId="0" numFmtId="0" borderId="10" applyBorder="1" fontId="3" applyFont="1" fillId="2" applyFill="1" applyAlignment="1">
      <alignment horizontal="left"/>
    </xf>
    <xf xfId="0" numFmtId="0" borderId="12" applyBorder="1" fontId="1" applyFont="1" fillId="2" applyFill="1" applyAlignment="1">
      <alignment horizontal="left"/>
    </xf>
    <xf xfId="0" numFmtId="0" borderId="10" applyBorder="1" fontId="1" applyFont="1" fillId="2" applyFill="1" applyAlignment="1">
      <alignment horizontal="left" wrapText="1"/>
    </xf>
    <xf xfId="0" numFmtId="0" borderId="31" applyBorder="1" fontId="1" applyFont="1" fillId="2" applyFill="1" applyAlignment="1">
      <alignment horizontal="left" wrapText="1"/>
    </xf>
    <xf xfId="0" numFmtId="0" borderId="5" applyBorder="1" fontId="1" applyFont="1" fillId="3" applyFill="1" applyAlignment="1">
      <alignment horizontal="left" wrapText="1"/>
    </xf>
    <xf xfId="0" numFmtId="0" borderId="30" applyBorder="1" fontId="1" applyFont="1" fillId="2" applyFill="1" applyAlignment="1">
      <alignment horizontal="left"/>
    </xf>
    <xf xfId="0" numFmtId="0" borderId="32" applyBorder="1" fontId="1" applyFont="1" fillId="2" applyFill="1" applyAlignment="1">
      <alignment horizontal="left"/>
    </xf>
    <xf xfId="0" numFmtId="0" borderId="33" applyBorder="1" fontId="1" applyFont="1" fillId="2" applyFill="1" applyAlignment="1">
      <alignment horizontal="left" wrapText="1"/>
    </xf>
    <xf xfId="0" numFmtId="0" borderId="34" applyBorder="1" fontId="1" applyFont="1" fillId="2" applyFill="1" applyAlignment="1">
      <alignment horizontal="left" wrapText="1"/>
    </xf>
    <xf xfId="0" numFmtId="0" borderId="35" applyBorder="1" fontId="1" applyFont="1" fillId="2" applyFill="1" applyAlignment="1">
      <alignment horizontal="left"/>
    </xf>
    <xf xfId="0" numFmtId="0" borderId="12" applyBorder="1" fontId="4" applyFont="1" fillId="2" applyFill="1" applyAlignment="1">
      <alignment horizontal="left"/>
    </xf>
    <xf xfId="0" numFmtId="0" borderId="12" applyBorder="1" fontId="5" applyFont="1" fillId="2" applyFill="1" applyAlignment="1">
      <alignment horizontal="left"/>
    </xf>
    <xf xfId="0" numFmtId="0" borderId="35" applyBorder="1" fontId="4" applyFont="1" fillId="2" applyFill="1" applyAlignment="1">
      <alignment horizontal="left"/>
    </xf>
    <xf xfId="0" numFmtId="0" borderId="12" applyBorder="1" fontId="1" applyFont="1" fillId="2" applyFill="1" applyAlignment="1">
      <alignment horizontal="left" wrapText="1"/>
    </xf>
    <xf xfId="0" numFmtId="0" borderId="12" applyBorder="1" fontId="6" applyFont="1" fillId="2" applyFill="1" applyAlignment="1">
      <alignment horizontal="left" wrapText="1"/>
    </xf>
    <xf xfId="0" numFmtId="0" borderId="12" applyBorder="1" fontId="7" applyFont="1" fillId="2" applyFill="1" applyAlignment="1">
      <alignment horizontal="left"/>
    </xf>
    <xf xfId="0" numFmtId="0" borderId="0" fontId="0" fillId="0" applyAlignment="1">
      <alignment horizontal="left"/>
    </xf>
    <xf xfId="0" numFmtId="0" borderId="12" applyBorder="1" fontId="4" applyFont="1" fillId="0" applyAlignment="1">
      <alignment horizontal="left"/>
    </xf>
    <xf xfId="0" numFmtId="0" borderId="0" fontId="0" fillId="0" applyAlignment="1">
      <alignment horizontal="general"/>
    </xf>
    <xf xfId="0" numFmtId="0" borderId="36" applyBorder="1" fontId="4" applyFont="1" fillId="0" applyAlignment="1">
      <alignment horizontal="left"/>
    </xf>
    <xf xfId="0" numFmtId="0" borderId="36" applyBorder="1" fontId="1" applyFont="1" fillId="0" applyAlignment="1">
      <alignment horizontal="left" wrapText="1"/>
    </xf>
    <xf xfId="0" numFmtId="0" borderId="36" applyBorder="1" fontId="8" applyFont="1" fillId="0" applyAlignment="1">
      <alignment horizontal="left"/>
    </xf>
    <xf xfId="0" numFmtId="0" borderId="37" applyBorder="1" fontId="1" applyFont="1" fillId="10" applyFill="1" applyAlignment="1">
      <alignment horizontal="left"/>
    </xf>
    <xf xfId="0" numFmtId="0" borderId="37" applyBorder="1" fontId="1" applyFont="1" fillId="11" applyFill="1" applyAlignment="1">
      <alignment horizontal="left"/>
    </xf>
    <xf xfId="0" numFmtId="0" borderId="37" applyBorder="1" fontId="9" applyFont="1" fillId="11" applyFill="1"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2"/>
  <sheetViews>
    <sheetView workbookViewId="0"/>
  </sheetViews>
  <sheetFormatPr defaultRowHeight="15" x14ac:dyDescent="0.25"/>
  <cols>
    <col min="1" max="1" style="75" width="2.005" customWidth="1" bestFit="1"/>
    <col min="2" max="2" style="66" width="13.005" customWidth="1" bestFit="1"/>
    <col min="3" max="3" style="66" width="13.005" customWidth="1" bestFit="1"/>
    <col min="4" max="4" style="66" width="13.005" customWidth="1" bestFit="1"/>
  </cols>
  <sheetData>
    <row x14ac:dyDescent="0.25" r="1" customHeight="1" ht="18">
      <c r="A1" s="68"/>
      <c r="B1" s="69"/>
      <c r="C1" s="69"/>
      <c r="D1" s="69"/>
    </row>
    <row x14ac:dyDescent="0.25" r="2" customHeight="1" ht="18">
      <c r="A2" s="68"/>
      <c r="B2" s="69"/>
      <c r="C2" s="69"/>
      <c r="D2" s="69"/>
    </row>
    <row x14ac:dyDescent="0.25" r="3" customHeight="1" ht="87">
      <c r="A3" s="68"/>
      <c r="B3" s="70" t="s">
        <v>360</v>
      </c>
      <c r="C3" s="69"/>
      <c r="D3" s="69"/>
    </row>
    <row x14ac:dyDescent="0.25" r="4" customHeight="1" ht="18">
      <c r="A4" s="68"/>
      <c r="B4" s="69"/>
      <c r="C4" s="69"/>
      <c r="D4" s="69"/>
    </row>
    <row x14ac:dyDescent="0.25" r="5" customHeight="1" ht="18">
      <c r="A5" s="68"/>
      <c r="B5" s="69"/>
      <c r="C5" s="69"/>
      <c r="D5" s="69"/>
    </row>
    <row x14ac:dyDescent="0.25" r="6" customHeight="1" ht="18">
      <c r="A6" s="68"/>
      <c r="B6" s="69"/>
      <c r="C6" s="69"/>
      <c r="D6" s="69"/>
    </row>
    <row x14ac:dyDescent="0.25" r="7" customHeight="1" ht="22.5">
      <c r="A7" s="68"/>
      <c r="B7" s="71" t="s">
        <v>361</v>
      </c>
      <c r="C7" s="71" t="s">
        <v>362</v>
      </c>
      <c r="D7" s="71" t="s">
        <v>363</v>
      </c>
    </row>
    <row x14ac:dyDescent="0.25" r="8" customHeight="1" ht="18">
      <c r="A8" s="68"/>
      <c r="B8" s="69"/>
      <c r="C8" s="69"/>
      <c r="D8" s="69"/>
    </row>
    <row x14ac:dyDescent="0.25" r="9" customHeight="1" ht="19.5">
      <c r="A9" s="68"/>
      <c r="B9" s="72" t="s">
        <v>364</v>
      </c>
      <c r="C9" s="72"/>
      <c r="D9" s="72"/>
    </row>
    <row x14ac:dyDescent="0.25" r="10" customHeight="1" ht="19.5">
      <c r="A10" s="68"/>
      <c r="B10" s="73"/>
      <c r="C10" s="73" t="s">
        <v>365</v>
      </c>
      <c r="D10" s="74" t="s">
        <v>364</v>
      </c>
    </row>
    <row x14ac:dyDescent="0.25" r="11" customHeight="1" ht="19.5">
      <c r="A11" s="68"/>
      <c r="B11" s="72" t="s">
        <v>366</v>
      </c>
      <c r="C11" s="72"/>
      <c r="D11" s="72"/>
    </row>
    <row x14ac:dyDescent="0.25" r="12" customHeight="1" ht="19.5">
      <c r="A12" s="68"/>
      <c r="B12" s="73"/>
      <c r="C12" s="73" t="s">
        <v>365</v>
      </c>
      <c r="D12" s="74" t="s">
        <v>366</v>
      </c>
    </row>
  </sheetData>
  <mergeCells count="1">
    <mergeCell ref="B3:U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0"/>
  <sheetViews>
    <sheetView workbookViewId="0"/>
  </sheetViews>
  <sheetFormatPr defaultRowHeight="15" x14ac:dyDescent="0.25"/>
  <cols>
    <col min="1" max="1" style="66" width="13.005" customWidth="1" bestFit="1"/>
    <col min="2" max="2" style="66" width="18.862142857142857" customWidth="1" bestFit="1"/>
    <col min="3" max="3" style="66" width="13.005" customWidth="1" bestFit="1"/>
    <col min="4" max="4" style="66" width="8.862142857142858" customWidth="1" bestFit="1"/>
    <col min="5" max="5" style="66" width="8.862142857142858" customWidth="1" bestFit="1"/>
  </cols>
  <sheetData>
    <row x14ac:dyDescent="0.25" r="1" customHeight="1" ht="18">
      <c r="A1" s="60"/>
      <c r="B1" s="60"/>
      <c r="C1" s="60"/>
      <c r="D1" s="67"/>
      <c r="E1" s="67"/>
    </row>
    <row x14ac:dyDescent="0.25" r="2" customHeight="1" ht="18">
      <c r="A2" s="60"/>
      <c r="B2" s="15" t="s">
        <v>354</v>
      </c>
      <c r="C2" s="15" t="s">
        <v>355</v>
      </c>
      <c r="D2" s="67"/>
      <c r="E2" s="67"/>
    </row>
    <row x14ac:dyDescent="0.25" r="3" customHeight="1" ht="18">
      <c r="A3" s="60"/>
      <c r="B3" s="15" t="s">
        <v>316</v>
      </c>
      <c r="C3" s="15" t="s">
        <v>356</v>
      </c>
      <c r="D3" s="67"/>
      <c r="E3" s="67"/>
    </row>
    <row x14ac:dyDescent="0.25" r="4" customHeight="1" ht="18">
      <c r="A4" s="60"/>
      <c r="B4" s="15" t="s">
        <v>319</v>
      </c>
      <c r="C4" s="15" t="s">
        <v>357</v>
      </c>
      <c r="D4" s="67"/>
      <c r="E4" s="67"/>
    </row>
    <row x14ac:dyDescent="0.25" r="5" customHeight="1" ht="18">
      <c r="A5" s="60"/>
      <c r="B5" s="15" t="s">
        <v>318</v>
      </c>
      <c r="C5" s="15" t="s">
        <v>358</v>
      </c>
      <c r="D5" s="67"/>
      <c r="E5" s="67"/>
    </row>
    <row x14ac:dyDescent="0.25" r="6" customHeight="1" ht="18">
      <c r="A6" s="60"/>
      <c r="B6" s="15" t="s">
        <v>320</v>
      </c>
      <c r="C6" s="15" t="s">
        <v>359</v>
      </c>
      <c r="D6" s="67"/>
      <c r="E6" s="67"/>
    </row>
    <row x14ac:dyDescent="0.25" r="7" customHeight="1" ht="13.550000000000002">
      <c r="A7" s="60"/>
      <c r="B7" s="60"/>
      <c r="C7" s="60"/>
      <c r="D7" s="67"/>
      <c r="E7" s="67"/>
    </row>
    <row x14ac:dyDescent="0.25" r="8" customHeight="1" ht="13.550000000000002">
      <c r="A8" s="60"/>
      <c r="B8" s="60"/>
      <c r="C8" s="60"/>
      <c r="D8" s="67"/>
      <c r="E8" s="67"/>
    </row>
    <row x14ac:dyDescent="0.25" r="9" customHeight="1" ht="13.550000000000002">
      <c r="A9" s="60"/>
      <c r="B9" s="60"/>
      <c r="C9" s="60"/>
      <c r="D9" s="67"/>
      <c r="E9" s="67"/>
    </row>
    <row x14ac:dyDescent="0.25" r="10" customHeight="1" ht="13.550000000000002">
      <c r="A10" s="60"/>
      <c r="B10" s="60"/>
      <c r="C10" s="60"/>
      <c r="D10" s="67"/>
      <c r="E10" s="6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D84"/>
  <sheetViews>
    <sheetView workbookViewId="0" tabSelected="1"/>
  </sheetViews>
  <sheetFormatPr defaultRowHeight="15" x14ac:dyDescent="0.25"/>
  <cols>
    <col min="1" max="1" style="66" width="44.71928571428572" customWidth="1" bestFit="1"/>
    <col min="2" max="2" style="66" width="12.147857142857141" customWidth="1" bestFit="1"/>
    <col min="3" max="3" style="66" width="21.719285714285714" customWidth="1" bestFit="1"/>
    <col min="4" max="4" style="66" width="29.719285714285714" customWidth="1" bestFit="1"/>
    <col min="5" max="5" style="66" width="29.719285714285714" customWidth="1" bestFit="1"/>
    <col min="6" max="6" style="66" width="21.719285714285714" customWidth="1" bestFit="1"/>
    <col min="7" max="7" style="66" width="21.862142857142857" customWidth="1" bestFit="1"/>
    <col min="8" max="8" style="66" width="22.14785714285714" customWidth="1" bestFit="1"/>
    <col min="9" max="9" style="66" width="9.005" customWidth="1" bestFit="1"/>
    <col min="10" max="10" style="66" width="24.862142857142857" customWidth="1" bestFit="1"/>
    <col min="11" max="11" style="66" width="21.719285714285714" customWidth="1" bestFit="1"/>
    <col min="12" max="12" style="66" width="25.719285714285714" customWidth="1" bestFit="1"/>
    <col min="13" max="13" style="66" width="23.005" customWidth="1" bestFit="1"/>
    <col min="14" max="14" style="66" width="19.719285714285714" customWidth="1" bestFit="1"/>
    <col min="15" max="15" style="66" width="26.719285714285714" customWidth="1" bestFit="1"/>
    <col min="16" max="16" style="66" width="31.719285714285714" customWidth="1" bestFit="1"/>
    <col min="17" max="17" style="66" width="22.719285714285714" customWidth="1" bestFit="1"/>
    <col min="18" max="18" style="66" width="24.862142857142857" customWidth="1" bestFit="1"/>
    <col min="19" max="19" style="66" width="28.14785714285714" customWidth="1" bestFit="1"/>
    <col min="20" max="20" style="66" width="27.290714285714284" customWidth="1" bestFit="1"/>
    <col min="21" max="21" style="66" width="28.719285714285714" customWidth="1" bestFit="1"/>
    <col min="22" max="22" style="66" width="23.719285714285714" customWidth="1" bestFit="1"/>
    <col min="23" max="23" style="66" width="30.14785714285714" customWidth="1" bestFit="1"/>
    <col min="24" max="24" style="66" width="23.719285714285714" customWidth="1" bestFit="1"/>
    <col min="25" max="25" style="66" width="25.576428571428572" customWidth="1" bestFit="1"/>
    <col min="26" max="26" style="66" width="8.576428571428572" customWidth="1" bestFit="1"/>
    <col min="27" max="27" style="66" width="19.719285714285714" customWidth="1" bestFit="1"/>
    <col min="28" max="28" style="66" width="28.576428571428572" customWidth="1" bestFit="1"/>
    <col min="29" max="29" style="66" width="47.57642857142857" customWidth="1" bestFit="1"/>
    <col min="30" max="30" style="66" width="21.14785714285714" customWidth="1" bestFit="1"/>
    <col min="31" max="31" style="66" width="19.719285714285714" customWidth="1" bestFit="1"/>
    <col min="32" max="32" style="66" width="86.86214285714286" customWidth="1" bestFit="1"/>
    <col min="33" max="33" style="66" width="35.14785714285715" customWidth="1" bestFit="1"/>
    <col min="34" max="34" style="66" width="24.719285714285714" customWidth="1" bestFit="1"/>
    <col min="35" max="35" style="66" width="32.86214285714286" customWidth="1" bestFit="1"/>
    <col min="36" max="36" style="66" width="50.71928571428572" customWidth="1" bestFit="1"/>
    <col min="37" max="37" style="66" width="37.86214285714286" customWidth="1" bestFit="1"/>
    <col min="38" max="38" style="66" width="20.576428571428572" customWidth="1" bestFit="1"/>
    <col min="39" max="39" style="66" width="16.862142857142857" customWidth="1" bestFit="1"/>
    <col min="40" max="40" style="66" width="23.719285714285714" customWidth="1" bestFit="1"/>
    <col min="41" max="41" style="66" width="49.14785714285715" customWidth="1" bestFit="1"/>
    <col min="42" max="42" style="66" width="40.86214285714286" customWidth="1" bestFit="1"/>
    <col min="43" max="43" style="66" width="23.290714285714284" customWidth="1" bestFit="1"/>
    <col min="44" max="44" style="66" width="31.719285714285714" customWidth="1" bestFit="1"/>
    <col min="45" max="45" style="66" width="38.71928571428572" customWidth="1" bestFit="1"/>
    <col min="46" max="46" style="66" width="41.14785714285715" customWidth="1" bestFit="1"/>
    <col min="47" max="47" style="66" width="23.862142857142857" customWidth="1" bestFit="1"/>
    <col min="48" max="48" style="66" width="23.719285714285714" customWidth="1" bestFit="1"/>
    <col min="49" max="49" style="66" width="27.719285714285714" customWidth="1" bestFit="1"/>
    <col min="50" max="50" style="66" width="28.719285714285714" customWidth="1" bestFit="1"/>
    <col min="51" max="51" style="66" width="31.719285714285714" customWidth="1" bestFit="1"/>
    <col min="52" max="52" style="66" width="37.29071428571429" customWidth="1" bestFit="1"/>
    <col min="53" max="53" style="66" width="37.86214285714286" customWidth="1" bestFit="1"/>
    <col min="54" max="54" style="66" width="37.86214285714286" customWidth="1" bestFit="1"/>
    <col min="55" max="55" style="66" width="37.86214285714286" customWidth="1" bestFit="1"/>
    <col min="56" max="56" style="66" width="37.86214285714286" customWidth="1" bestFit="1"/>
    <col min="57" max="57" style="66" width="37.86214285714286" customWidth="1" bestFit="1"/>
    <col min="58" max="58" style="66" width="22.719285714285714" customWidth="1" bestFit="1"/>
    <col min="59" max="59" style="66" width="40.86214285714286" customWidth="1" bestFit="1"/>
    <col min="60" max="60" style="66" width="37.86214285714286" customWidth="1" bestFit="1"/>
    <col min="61" max="61" style="66" width="33.57642857142857" customWidth="1" bestFit="1"/>
    <col min="62" max="62" style="66" width="34.57642857142857" customWidth="1" bestFit="1"/>
    <col min="63" max="63" style="66" width="21.290714285714284" customWidth="1" bestFit="1"/>
    <col min="64" max="64" style="66" width="37.86214285714286" customWidth="1" bestFit="1"/>
    <col min="65" max="65" style="66" width="15.290714285714287" customWidth="1" bestFit="1"/>
    <col min="66" max="66" style="66" width="37.14785714285715" customWidth="1" bestFit="1"/>
    <col min="67" max="67" style="66" width="37.86214285714286" customWidth="1" bestFit="1"/>
    <col min="68" max="68" style="66" width="31.719285714285714" customWidth="1" bestFit="1"/>
    <col min="69" max="69" style="66" width="23.005" customWidth="1" bestFit="1"/>
    <col min="70" max="70" style="66" width="25.719285714285714" customWidth="1" bestFit="1"/>
    <col min="71" max="71" style="66" width="33.29071428571429" customWidth="1" bestFit="1"/>
    <col min="72" max="72" style="66" width="36.14785714285715" customWidth="1" bestFit="1"/>
    <col min="73" max="73" style="66" width="35.86214285714286" customWidth="1" bestFit="1"/>
    <col min="74" max="74" style="66" width="34.86214285714286" customWidth="1" bestFit="1"/>
    <col min="75" max="75" style="66" width="37.86214285714286" customWidth="1" bestFit="1"/>
    <col min="76" max="76" style="66" width="37.86214285714286" customWidth="1" bestFit="1"/>
    <col min="77" max="77" style="66" width="37.86214285714286" customWidth="1" bestFit="1"/>
    <col min="78" max="78" style="66" width="37.86214285714286" customWidth="1" bestFit="1"/>
    <col min="79" max="79" style="66" width="37.86214285714286" customWidth="1" bestFit="1"/>
    <col min="80" max="80" style="66" width="37.86214285714286" customWidth="1" bestFit="1"/>
    <col min="81" max="81" style="66" width="37.86214285714286" customWidth="1" bestFit="1"/>
    <col min="82" max="82" style="66" width="37.86214285714286" customWidth="1" bestFit="1"/>
    <col min="83" max="83" style="66" width="37.86214285714286" customWidth="1" bestFit="1"/>
    <col min="84" max="84" style="66" width="37.86214285714286" customWidth="1" bestFit="1"/>
    <col min="85" max="85" style="66" width="37.86214285714286" customWidth="1" bestFit="1"/>
    <col min="86" max="86" style="66" width="25.719285714285714" customWidth="1" bestFit="1"/>
    <col min="87" max="87" style="66" width="34.29071428571429" customWidth="1" bestFit="1"/>
    <col min="88" max="88" style="66" width="24.290714285714284" customWidth="1" bestFit="1"/>
    <col min="89" max="89" style="66" width="37.86214285714286" customWidth="1" bestFit="1"/>
    <col min="90" max="90" style="66" width="37.86214285714286" customWidth="1" bestFit="1"/>
    <col min="91" max="91" style="66" width="28.719285714285714" customWidth="1" bestFit="1"/>
    <col min="92" max="92" style="66" width="21.005" customWidth="1" bestFit="1"/>
    <col min="93" max="93" style="66" width="28.290714285714284" customWidth="1" bestFit="1"/>
    <col min="94" max="94" style="66" width="28.14785714285714" customWidth="1" bestFit="1"/>
    <col min="95" max="95" style="66" width="27.719285714285714" customWidth="1" bestFit="1"/>
    <col min="96" max="96" style="66" width="24.719285714285714" customWidth="1" bestFit="1"/>
    <col min="97" max="97" style="66" width="24.719285714285714" customWidth="1" bestFit="1"/>
    <col min="98" max="98" style="66" width="27.719285714285714" customWidth="1" bestFit="1"/>
    <col min="99" max="99" style="66" width="37.86214285714286" customWidth="1" bestFit="1"/>
    <col min="100" max="100" style="66" width="37.86214285714286" customWidth="1" bestFit="1"/>
    <col min="101" max="101" style="66" width="37.86214285714286" customWidth="1" bestFit="1"/>
    <col min="102" max="102" style="66" width="37.86214285714286" customWidth="1" bestFit="1"/>
    <col min="103" max="103" style="66" width="44.29071428571429" customWidth="1" bestFit="1"/>
    <col min="104" max="104" style="66" width="37.86214285714286" customWidth="1" bestFit="1"/>
    <col min="105" max="105" style="66" width="37.86214285714286" customWidth="1" bestFit="1"/>
    <col min="106" max="106" style="66" width="48.005" customWidth="1" bestFit="1"/>
    <col min="107" max="107" style="66" width="37.86214285714286" customWidth="1" bestFit="1"/>
    <col min="108" max="108" style="66" width="37.86214285714286" customWidth="1" bestFit="1"/>
    <col min="109" max="109" style="66" width="42.29071428571429" customWidth="1" bestFit="1"/>
    <col min="110" max="110" style="66" width="37.86214285714286" customWidth="1" bestFit="1"/>
    <col min="111" max="111" style="66" width="37.86214285714286" customWidth="1" bestFit="1"/>
    <col min="112" max="112" style="66" width="37.86214285714286" customWidth="1" bestFit="1"/>
    <col min="113" max="113" style="66" width="37.86214285714286" customWidth="1" bestFit="1"/>
    <col min="114" max="114" style="66" width="37.86214285714286" customWidth="1" bestFit="1"/>
    <col min="115" max="115" style="66" width="37.86214285714286" customWidth="1" bestFit="1"/>
    <col min="116" max="116" style="66" width="37.86214285714286" customWidth="1" bestFit="1"/>
    <col min="117" max="117" style="66" width="37.86214285714286" customWidth="1" bestFit="1"/>
    <col min="118" max="118" style="66" width="37.86214285714286" customWidth="1" bestFit="1"/>
    <col min="119" max="119" style="66" width="37.86214285714286" customWidth="1" bestFit="1"/>
    <col min="120" max="120" style="66" width="37.86214285714286" customWidth="1" bestFit="1"/>
    <col min="121" max="121" style="66" width="37.86214285714286" customWidth="1" bestFit="1"/>
    <col min="122" max="122" style="66" width="37.86214285714286" customWidth="1" bestFit="1"/>
    <col min="123" max="123" style="66" width="37.86214285714286" customWidth="1" bestFit="1"/>
    <col min="124" max="124" style="66" width="37.86214285714286" customWidth="1" bestFit="1"/>
    <col min="125" max="125" style="66" width="37.86214285714286" customWidth="1" bestFit="1"/>
    <col min="126" max="126" style="66" width="37.86214285714286" customWidth="1" bestFit="1"/>
    <col min="127" max="127" style="66" width="31.14785714285714" customWidth="1" bestFit="1"/>
    <col min="128" max="128" style="66" width="37.86214285714286" customWidth="1" bestFit="1"/>
    <col min="129" max="129" style="66" width="34.71928571428572" customWidth="1" bestFit="1"/>
    <col min="130" max="130" style="66" width="32.71928571428572" customWidth="1" bestFit="1"/>
    <col min="131" max="131" style="66" width="21.005" customWidth="1" bestFit="1"/>
    <col min="132" max="132" style="66" width="21.719285714285714" customWidth="1" bestFit="1"/>
    <col min="133" max="133" style="66" width="21.719285714285714" customWidth="1" bestFit="1"/>
    <col min="134" max="134" style="66" width="21.719285714285714" customWidth="1" bestFit="1"/>
  </cols>
  <sheetData>
    <row x14ac:dyDescent="0.25" r="1" customHeight="1" ht="21">
      <c r="A1" s="1" t="s">
        <v>0</v>
      </c>
      <c r="B1" s="2" t="s">
        <v>1</v>
      </c>
      <c r="C1" s="3" t="s">
        <v>2</v>
      </c>
      <c r="D1" s="3" t="s">
        <v>3</v>
      </c>
      <c r="E1" s="3" t="s">
        <v>4</v>
      </c>
      <c r="F1" s="3" t="s">
        <v>5</v>
      </c>
      <c r="G1" s="3" t="s">
        <v>6</v>
      </c>
      <c r="H1" s="3" t="s">
        <v>7</v>
      </c>
      <c r="I1" s="3"/>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c r="AA1" s="3" t="s">
        <v>24</v>
      </c>
      <c r="AB1" s="3" t="s">
        <v>25</v>
      </c>
      <c r="AC1" s="3" t="s">
        <v>26</v>
      </c>
      <c r="AD1" s="3" t="s">
        <v>27</v>
      </c>
      <c r="AE1" s="3" t="s">
        <v>28</v>
      </c>
      <c r="AF1" s="3" t="s">
        <v>29</v>
      </c>
      <c r="AG1" s="4" t="s">
        <v>30</v>
      </c>
      <c r="AH1" s="3" t="s">
        <v>31</v>
      </c>
      <c r="AI1" s="3" t="s">
        <v>32</v>
      </c>
      <c r="AJ1" s="3" t="s">
        <v>33</v>
      </c>
      <c r="AK1" s="3" t="s">
        <v>34</v>
      </c>
      <c r="AL1" s="3" t="s">
        <v>35</v>
      </c>
      <c r="AM1" s="3" t="s">
        <v>36</v>
      </c>
      <c r="AN1" s="3" t="s">
        <v>37</v>
      </c>
      <c r="AO1" s="3" t="s">
        <v>38</v>
      </c>
      <c r="AP1" s="3" t="s">
        <v>39</v>
      </c>
      <c r="AQ1" s="3" t="s">
        <v>40</v>
      </c>
      <c r="AR1" s="3" t="s">
        <v>41</v>
      </c>
      <c r="AS1" s="3" t="s">
        <v>42</v>
      </c>
      <c r="AT1" s="3" t="s">
        <v>43</v>
      </c>
      <c r="AU1" s="3" t="s">
        <v>44</v>
      </c>
      <c r="AV1" s="3" t="s">
        <v>45</v>
      </c>
      <c r="AW1" s="3" t="s">
        <v>46</v>
      </c>
      <c r="AX1" s="3" t="s">
        <v>47</v>
      </c>
      <c r="AY1" s="3" t="s">
        <v>48</v>
      </c>
      <c r="AZ1" s="3" t="s">
        <v>49</v>
      </c>
      <c r="BA1" s="3" t="s">
        <v>50</v>
      </c>
      <c r="BB1" s="3" t="s">
        <v>51</v>
      </c>
      <c r="BC1" s="3" t="s">
        <v>52</v>
      </c>
      <c r="BD1" s="3" t="s">
        <v>53</v>
      </c>
      <c r="BE1" s="3" t="s">
        <v>54</v>
      </c>
      <c r="BF1" s="3" t="s">
        <v>55</v>
      </c>
      <c r="BG1" s="3" t="s">
        <v>56</v>
      </c>
      <c r="BH1" s="3" t="s">
        <v>57</v>
      </c>
      <c r="BI1" s="3" t="s">
        <v>58</v>
      </c>
      <c r="BJ1" s="3" t="s">
        <v>59</v>
      </c>
      <c r="BK1" s="3" t="s">
        <v>60</v>
      </c>
      <c r="BL1" s="3" t="s">
        <v>61</v>
      </c>
      <c r="BM1" s="3" t="s">
        <v>62</v>
      </c>
      <c r="BN1" s="3" t="s">
        <v>63</v>
      </c>
      <c r="BO1" s="3" t="s">
        <v>64</v>
      </c>
      <c r="BP1" s="3" t="s">
        <v>65</v>
      </c>
      <c r="BQ1" s="3" t="s">
        <v>66</v>
      </c>
      <c r="BR1" s="3" t="s">
        <v>67</v>
      </c>
      <c r="BS1" s="3" t="s">
        <v>68</v>
      </c>
      <c r="BT1" s="3" t="s">
        <v>69</v>
      </c>
      <c r="BU1" s="3" t="s">
        <v>70</v>
      </c>
      <c r="BV1" s="3" t="s">
        <v>71</v>
      </c>
      <c r="BW1" s="3" t="s">
        <v>72</v>
      </c>
      <c r="BX1" s="3" t="s">
        <v>73</v>
      </c>
      <c r="BY1" s="3" t="s">
        <v>74</v>
      </c>
      <c r="BZ1" s="3" t="s">
        <v>75</v>
      </c>
      <c r="CA1" s="3" t="s">
        <v>76</v>
      </c>
      <c r="CB1" s="3" t="s">
        <v>77</v>
      </c>
      <c r="CC1" s="3" t="s">
        <v>78</v>
      </c>
      <c r="CD1" s="3" t="s">
        <v>79</v>
      </c>
      <c r="CE1" s="3" t="s">
        <v>80</v>
      </c>
      <c r="CF1" s="3" t="s">
        <v>81</v>
      </c>
      <c r="CG1" s="3" t="s">
        <v>82</v>
      </c>
      <c r="CH1" s="3" t="s">
        <v>83</v>
      </c>
      <c r="CI1" s="3" t="s">
        <v>84</v>
      </c>
      <c r="CJ1" s="3" t="s">
        <v>85</v>
      </c>
      <c r="CK1" s="3" t="s">
        <v>86</v>
      </c>
      <c r="CL1" s="3" t="s">
        <v>87</v>
      </c>
      <c r="CM1" s="3" t="s">
        <v>88</v>
      </c>
      <c r="CN1" s="3" t="s">
        <v>89</v>
      </c>
      <c r="CO1" s="3" t="s">
        <v>90</v>
      </c>
      <c r="CP1" s="3" t="s">
        <v>91</v>
      </c>
      <c r="CQ1" s="3" t="s">
        <v>92</v>
      </c>
      <c r="CR1" s="3" t="s">
        <v>93</v>
      </c>
      <c r="CS1" s="3" t="s">
        <v>94</v>
      </c>
      <c r="CT1" s="3" t="s">
        <v>95</v>
      </c>
      <c r="CU1" s="3" t="s">
        <v>96</v>
      </c>
      <c r="CV1" s="3" t="s">
        <v>97</v>
      </c>
      <c r="CW1" s="3" t="s">
        <v>98</v>
      </c>
      <c r="CX1" s="3" t="s">
        <v>99</v>
      </c>
      <c r="CY1" s="3" t="s">
        <v>100</v>
      </c>
      <c r="CZ1" s="3" t="s">
        <v>101</v>
      </c>
      <c r="DA1" s="5" t="s">
        <v>102</v>
      </c>
      <c r="DB1" s="3" t="s">
        <v>103</v>
      </c>
      <c r="DC1" s="3" t="s">
        <v>104</v>
      </c>
      <c r="DD1" s="3" t="s">
        <v>105</v>
      </c>
      <c r="DE1" s="3" t="s">
        <v>106</v>
      </c>
      <c r="DF1" s="3" t="s">
        <v>107</v>
      </c>
      <c r="DG1" s="3" t="s">
        <v>108</v>
      </c>
      <c r="DH1" s="5" t="s">
        <v>109</v>
      </c>
      <c r="DI1" s="3" t="s">
        <v>110</v>
      </c>
      <c r="DJ1" s="3" t="s">
        <v>111</v>
      </c>
      <c r="DK1" s="3" t="s">
        <v>112</v>
      </c>
      <c r="DL1" s="3" t="s">
        <v>113</v>
      </c>
      <c r="DM1" s="3" t="s">
        <v>114</v>
      </c>
      <c r="DN1" s="3" t="s">
        <v>115</v>
      </c>
      <c r="DO1" s="3" t="s">
        <v>116</v>
      </c>
      <c r="DP1" s="3" t="s">
        <v>117</v>
      </c>
      <c r="DQ1" s="3" t="s">
        <v>118</v>
      </c>
      <c r="DR1" s="3" t="s">
        <v>119</v>
      </c>
      <c r="DS1" s="3" t="s">
        <v>120</v>
      </c>
      <c r="DT1" s="3" t="s">
        <v>121</v>
      </c>
      <c r="DU1" s="3" t="s">
        <v>122</v>
      </c>
      <c r="DV1" s="3" t="s">
        <v>123</v>
      </c>
      <c r="DW1" s="3" t="s">
        <v>124</v>
      </c>
      <c r="DX1" s="3" t="s">
        <v>125</v>
      </c>
      <c r="DY1" s="3" t="s">
        <v>126</v>
      </c>
      <c r="DZ1" s="3" t="s">
        <v>127</v>
      </c>
      <c r="EA1" s="3" t="s">
        <v>128</v>
      </c>
      <c r="EB1" s="3" t="s">
        <v>129</v>
      </c>
      <c r="EC1" s="3" t="s">
        <v>130</v>
      </c>
      <c r="ED1" s="6"/>
    </row>
    <row x14ac:dyDescent="0.25" r="2" customHeight="1" ht="20.25">
      <c r="A2" s="7" t="s">
        <v>131</v>
      </c>
      <c r="B2" s="8" t="s">
        <v>132</v>
      </c>
      <c r="C2" s="9" t="s">
        <v>133</v>
      </c>
      <c r="D2" s="10" t="s">
        <v>134</v>
      </c>
      <c r="E2" s="10" t="s">
        <v>135</v>
      </c>
      <c r="F2" s="10" t="s">
        <v>136</v>
      </c>
      <c r="G2" s="10" t="s">
        <v>137</v>
      </c>
      <c r="H2" s="10" t="s">
        <v>7</v>
      </c>
      <c r="I2" s="10"/>
      <c r="J2" s="10" t="s">
        <v>138</v>
      </c>
      <c r="K2" s="10" t="s">
        <v>9</v>
      </c>
      <c r="L2" s="10" t="s">
        <v>139</v>
      </c>
      <c r="M2" s="10" t="s">
        <v>140</v>
      </c>
      <c r="N2" s="10" t="s">
        <v>141</v>
      </c>
      <c r="O2" s="10" t="s">
        <v>142</v>
      </c>
      <c r="P2" s="10" t="s">
        <v>143</v>
      </c>
      <c r="Q2" s="10" t="s">
        <v>144</v>
      </c>
      <c r="R2" s="10" t="s">
        <v>145</v>
      </c>
      <c r="S2" s="10" t="s">
        <v>146</v>
      </c>
      <c r="T2" s="10" t="s">
        <v>147</v>
      </c>
      <c r="U2" s="10" t="s">
        <v>148</v>
      </c>
      <c r="V2" s="10" t="s">
        <v>149</v>
      </c>
      <c r="W2" s="10" t="s">
        <v>150</v>
      </c>
      <c r="X2" s="10" t="s">
        <v>151</v>
      </c>
      <c r="Y2" s="10" t="s">
        <v>152</v>
      </c>
      <c r="Z2" s="10"/>
      <c r="AA2" s="10" t="s">
        <v>153</v>
      </c>
      <c r="AB2" s="10" t="s">
        <v>154</v>
      </c>
      <c r="AC2" s="10" t="s">
        <v>155</v>
      </c>
      <c r="AD2" s="10" t="s">
        <v>156</v>
      </c>
      <c r="AE2" s="10" t="s">
        <v>157</v>
      </c>
      <c r="AF2" s="11" t="s">
        <v>158</v>
      </c>
      <c r="AG2" s="8" t="s">
        <v>159</v>
      </c>
      <c r="AH2" s="9" t="s">
        <v>160</v>
      </c>
      <c r="AI2" s="10" t="s">
        <v>161</v>
      </c>
      <c r="AJ2" s="10" t="s">
        <v>162</v>
      </c>
      <c r="AK2" s="10" t="s">
        <v>163</v>
      </c>
      <c r="AL2" s="10" t="s">
        <v>164</v>
      </c>
      <c r="AM2" s="10" t="s">
        <v>165</v>
      </c>
      <c r="AN2" s="10" t="s">
        <v>166</v>
      </c>
      <c r="AO2" s="10" t="s">
        <v>167</v>
      </c>
      <c r="AP2" s="10" t="s">
        <v>168</v>
      </c>
      <c r="AQ2" s="10" t="s">
        <v>169</v>
      </c>
      <c r="AR2" s="10" t="s">
        <v>170</v>
      </c>
      <c r="AS2" s="10" t="s">
        <v>171</v>
      </c>
      <c r="AT2" s="10" t="s">
        <v>172</v>
      </c>
      <c r="AU2" s="10" t="s">
        <v>173</v>
      </c>
      <c r="AV2" s="10" t="s">
        <v>174</v>
      </c>
      <c r="AW2" s="10" t="s">
        <v>175</v>
      </c>
      <c r="AX2" s="10" t="s">
        <v>176</v>
      </c>
      <c r="AY2" s="10" t="s">
        <v>177</v>
      </c>
      <c r="AZ2" s="10" t="s">
        <v>178</v>
      </c>
      <c r="BA2" s="10" t="s">
        <v>179</v>
      </c>
      <c r="BB2" s="10" t="s">
        <v>180</v>
      </c>
      <c r="BC2" s="10" t="s">
        <v>181</v>
      </c>
      <c r="BD2" s="10" t="s">
        <v>182</v>
      </c>
      <c r="BE2" s="10" t="s">
        <v>183</v>
      </c>
      <c r="BF2" s="10" t="s">
        <v>184</v>
      </c>
      <c r="BG2" s="10" t="s">
        <v>185</v>
      </c>
      <c r="BH2" s="10" t="s">
        <v>186</v>
      </c>
      <c r="BI2" s="10" t="s">
        <v>187</v>
      </c>
      <c r="BJ2" s="10" t="s">
        <v>188</v>
      </c>
      <c r="BK2" s="10" t="s">
        <v>166</v>
      </c>
      <c r="BL2" s="10" t="s">
        <v>189</v>
      </c>
      <c r="BM2" s="10" t="s">
        <v>62</v>
      </c>
      <c r="BN2" s="10" t="s">
        <v>190</v>
      </c>
      <c r="BO2" s="10" t="s">
        <v>191</v>
      </c>
      <c r="BP2" s="10" t="s">
        <v>192</v>
      </c>
      <c r="BQ2" s="10" t="s">
        <v>193</v>
      </c>
      <c r="BR2" s="10" t="s">
        <v>194</v>
      </c>
      <c r="BS2" s="10" t="s">
        <v>195</v>
      </c>
      <c r="BT2" s="10" t="s">
        <v>196</v>
      </c>
      <c r="BU2" s="10" t="s">
        <v>197</v>
      </c>
      <c r="BV2" s="10" t="s">
        <v>198</v>
      </c>
      <c r="BW2" s="10" t="s">
        <v>199</v>
      </c>
      <c r="BX2" s="10" t="s">
        <v>200</v>
      </c>
      <c r="BY2" s="10" t="s">
        <v>201</v>
      </c>
      <c r="BZ2" s="10" t="s">
        <v>202</v>
      </c>
      <c r="CA2" s="10" t="s">
        <v>203</v>
      </c>
      <c r="CB2" s="10" t="s">
        <v>204</v>
      </c>
      <c r="CC2" s="10" t="s">
        <v>205</v>
      </c>
      <c r="CD2" s="10" t="s">
        <v>206</v>
      </c>
      <c r="CE2" s="10" t="s">
        <v>207</v>
      </c>
      <c r="CF2" s="10" t="s">
        <v>208</v>
      </c>
      <c r="CG2" s="10" t="s">
        <v>209</v>
      </c>
      <c r="CH2" s="10" t="s">
        <v>210</v>
      </c>
      <c r="CI2" s="10" t="s">
        <v>211</v>
      </c>
      <c r="CJ2" s="10" t="s">
        <v>212</v>
      </c>
      <c r="CK2" s="10" t="s">
        <v>213</v>
      </c>
      <c r="CL2" s="10" t="s">
        <v>214</v>
      </c>
      <c r="CM2" s="10" t="s">
        <v>215</v>
      </c>
      <c r="CN2" s="10" t="s">
        <v>216</v>
      </c>
      <c r="CO2" s="10" t="s">
        <v>217</v>
      </c>
      <c r="CP2" s="10" t="s">
        <v>218</v>
      </c>
      <c r="CQ2" s="10" t="s">
        <v>219</v>
      </c>
      <c r="CR2" s="10" t="s">
        <v>220</v>
      </c>
      <c r="CS2" s="10" t="s">
        <v>221</v>
      </c>
      <c r="CT2" s="10" t="s">
        <v>222</v>
      </c>
      <c r="CU2" s="10" t="s">
        <v>223</v>
      </c>
      <c r="CV2" s="10" t="s">
        <v>224</v>
      </c>
      <c r="CW2" s="10" t="s">
        <v>225</v>
      </c>
      <c r="CX2" s="10" t="s">
        <v>226</v>
      </c>
      <c r="CY2" s="10" t="s">
        <v>227</v>
      </c>
      <c r="CZ2" s="10" t="s">
        <v>228</v>
      </c>
      <c r="DA2" s="10"/>
      <c r="DB2" s="10" t="s">
        <v>229</v>
      </c>
      <c r="DC2" s="10" t="s">
        <v>230</v>
      </c>
      <c r="DD2" s="10" t="s">
        <v>231</v>
      </c>
      <c r="DE2" s="10" t="s">
        <v>232</v>
      </c>
      <c r="DF2" s="10" t="s">
        <v>233</v>
      </c>
      <c r="DG2" s="10" t="s">
        <v>234</v>
      </c>
      <c r="DH2" s="10"/>
      <c r="DI2" s="10" t="s">
        <v>235</v>
      </c>
      <c r="DJ2" s="10" t="s">
        <v>236</v>
      </c>
      <c r="DK2" s="10" t="s">
        <v>237</v>
      </c>
      <c r="DL2" s="10" t="s">
        <v>238</v>
      </c>
      <c r="DM2" s="10" t="s">
        <v>239</v>
      </c>
      <c r="DN2" s="10" t="s">
        <v>240</v>
      </c>
      <c r="DO2" s="10" t="s">
        <v>241</v>
      </c>
      <c r="DP2" s="10" t="s">
        <v>242</v>
      </c>
      <c r="DQ2" s="10" t="s">
        <v>243</v>
      </c>
      <c r="DR2" s="10" t="s">
        <v>244</v>
      </c>
      <c r="DS2" s="10" t="s">
        <v>245</v>
      </c>
      <c r="DT2" s="10" t="s">
        <v>246</v>
      </c>
      <c r="DU2" s="10" t="s">
        <v>247</v>
      </c>
      <c r="DV2" s="10" t="s">
        <v>248</v>
      </c>
      <c r="DW2" s="10" t="s">
        <v>249</v>
      </c>
      <c r="DX2" s="10" t="s">
        <v>250</v>
      </c>
      <c r="DY2" s="10" t="s">
        <v>251</v>
      </c>
      <c r="DZ2" s="10" t="s">
        <v>252</v>
      </c>
      <c r="EA2" s="10" t="s">
        <v>253</v>
      </c>
      <c r="EB2" s="10" t="s">
        <v>254</v>
      </c>
      <c r="EC2" s="10"/>
      <c r="ED2" s="12"/>
    </row>
    <row x14ac:dyDescent="0.25" r="3" customHeight="1" ht="20.25">
      <c r="A3" s="7"/>
      <c r="B3" s="13"/>
      <c r="C3" s="14"/>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6"/>
      <c r="AG3" s="13"/>
      <c r="AH3" s="14"/>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row>
    <row x14ac:dyDescent="0.25" r="4" customHeight="1" ht="20.25">
      <c r="A4" s="17"/>
      <c r="B4" s="13"/>
      <c r="C4" s="18"/>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20"/>
      <c r="AG4" s="13"/>
      <c r="AH4" s="18"/>
      <c r="AI4" s="19"/>
      <c r="AJ4" s="19"/>
      <c r="AK4" s="19"/>
      <c r="AL4" s="19"/>
      <c r="AM4" s="19"/>
      <c r="AN4" s="19"/>
      <c r="AO4" s="19"/>
      <c r="AP4" s="19"/>
      <c r="AQ4" s="19"/>
      <c r="AR4" s="19"/>
      <c r="AS4" s="19"/>
      <c r="AT4" s="19"/>
      <c r="AU4" s="19"/>
      <c r="AV4" s="19"/>
      <c r="AW4" s="19"/>
      <c r="AX4" s="19"/>
      <c r="AY4" s="19"/>
      <c r="AZ4" s="19"/>
      <c r="BA4" s="19"/>
      <c r="BB4" s="19"/>
      <c r="BC4" s="19"/>
      <c r="BD4" s="19"/>
      <c r="BE4" s="19"/>
      <c r="BF4" s="21"/>
      <c r="BG4" s="21"/>
      <c r="BH4" s="19"/>
      <c r="BI4" s="21"/>
      <c r="BJ4" s="21"/>
      <c r="BK4" s="19"/>
      <c r="BL4" s="19"/>
      <c r="BM4" s="19"/>
      <c r="BN4" s="19"/>
      <c r="BO4" s="19"/>
      <c r="BP4" s="19"/>
      <c r="BQ4" s="19"/>
      <c r="BR4" s="19"/>
      <c r="BS4" s="21"/>
      <c r="BT4" s="21"/>
      <c r="BU4" s="21"/>
      <c r="BV4" s="21"/>
      <c r="BW4" s="22"/>
      <c r="BX4" s="22"/>
      <c r="BY4" s="22"/>
      <c r="BZ4" s="22"/>
      <c r="CA4" s="22"/>
      <c r="CB4" s="22"/>
      <c r="CC4" s="19"/>
      <c r="CD4" s="21"/>
      <c r="CE4" s="19"/>
      <c r="CF4" s="19"/>
      <c r="CG4" s="19"/>
      <c r="CH4" s="19"/>
      <c r="CI4" s="19"/>
      <c r="CJ4" s="21"/>
      <c r="CK4" s="19"/>
      <c r="CL4" s="19"/>
      <c r="CM4" s="19"/>
      <c r="CN4" s="19"/>
      <c r="CO4" s="19"/>
      <c r="CP4" s="19"/>
      <c r="CQ4" s="19"/>
      <c r="CR4" s="19"/>
      <c r="CS4" s="19"/>
      <c r="CT4" s="19"/>
      <c r="CU4" s="21"/>
      <c r="CV4" s="21"/>
      <c r="CW4" s="21"/>
      <c r="CX4" s="21"/>
      <c r="CY4" s="21"/>
      <c r="CZ4" s="21"/>
      <c r="DA4" s="21"/>
      <c r="DB4" s="21"/>
      <c r="DC4" s="21"/>
      <c r="DD4" s="21"/>
      <c r="DE4" s="21"/>
      <c r="DF4" s="21"/>
      <c r="DG4" s="21"/>
      <c r="DH4" s="21"/>
      <c r="DI4" s="19"/>
      <c r="DJ4" s="19"/>
      <c r="DK4" s="19"/>
      <c r="DL4" s="19"/>
      <c r="DM4" s="19"/>
      <c r="DN4" s="19"/>
      <c r="DO4" s="19"/>
      <c r="DP4" s="19"/>
      <c r="DQ4" s="19"/>
      <c r="DR4" s="19"/>
      <c r="DS4" s="19"/>
      <c r="DT4" s="19"/>
      <c r="DU4" s="19"/>
      <c r="DV4" s="19"/>
      <c r="DW4" s="19"/>
      <c r="DX4" s="19"/>
      <c r="DY4" s="19"/>
      <c r="DZ4" s="19"/>
      <c r="EA4" s="19"/>
      <c r="EB4" s="19"/>
      <c r="EC4" s="19"/>
      <c r="ED4" s="19"/>
    </row>
    <row x14ac:dyDescent="0.25" r="5" customHeight="1" ht="21">
      <c r="A5" s="23" t="s">
        <v>255</v>
      </c>
      <c r="B5" s="8" t="s">
        <v>256</v>
      </c>
      <c r="C5" s="23" t="s">
        <v>2</v>
      </c>
      <c r="D5" s="23" t="s">
        <v>3</v>
      </c>
      <c r="E5" s="23" t="s">
        <v>4</v>
      </c>
      <c r="F5" s="23" t="s">
        <v>257</v>
      </c>
      <c r="G5" s="23" t="s">
        <v>257</v>
      </c>
      <c r="H5" s="23" t="s">
        <v>7</v>
      </c>
      <c r="I5" s="23"/>
      <c r="J5" s="23" t="s">
        <v>258</v>
      </c>
      <c r="K5" s="23"/>
      <c r="L5" s="23"/>
      <c r="M5" s="23"/>
      <c r="N5" s="23" t="s">
        <v>259</v>
      </c>
      <c r="O5" s="23" t="s">
        <v>13</v>
      </c>
      <c r="P5" s="23" t="s">
        <v>14</v>
      </c>
      <c r="Q5" s="23" t="s">
        <v>260</v>
      </c>
      <c r="R5" s="23" t="s">
        <v>261</v>
      </c>
      <c r="S5" s="23" t="s">
        <v>262</v>
      </c>
      <c r="T5" s="23"/>
      <c r="U5" s="23" t="s">
        <v>19</v>
      </c>
      <c r="V5" s="23" t="s">
        <v>19</v>
      </c>
      <c r="W5" s="23" t="s">
        <v>263</v>
      </c>
      <c r="X5" s="23"/>
      <c r="Y5" s="23"/>
      <c r="Z5" s="23"/>
      <c r="AA5" s="23" t="s">
        <v>264</v>
      </c>
      <c r="AB5" s="24" t="s">
        <v>265</v>
      </c>
      <c r="AC5" s="23" t="s">
        <v>266</v>
      </c>
      <c r="AD5" s="23" t="s">
        <v>261</v>
      </c>
      <c r="AE5" s="23" t="s">
        <v>267</v>
      </c>
      <c r="AF5" s="23" t="s">
        <v>29</v>
      </c>
      <c r="AG5" s="13"/>
      <c r="AH5" s="23" t="s">
        <v>268</v>
      </c>
      <c r="AI5" s="23" t="s">
        <v>32</v>
      </c>
      <c r="AJ5" s="23" t="s">
        <v>269</v>
      </c>
      <c r="AK5" s="23" t="s">
        <v>270</v>
      </c>
      <c r="AL5" s="23" t="s">
        <v>271</v>
      </c>
      <c r="AM5" s="23" t="s">
        <v>272</v>
      </c>
      <c r="AN5" s="23" t="s">
        <v>273</v>
      </c>
      <c r="AO5" s="23" t="s">
        <v>38</v>
      </c>
      <c r="AP5" s="24" t="s">
        <v>39</v>
      </c>
      <c r="AQ5" s="23" t="s">
        <v>40</v>
      </c>
      <c r="AR5" s="23" t="s">
        <v>274</v>
      </c>
      <c r="AS5" s="23" t="s">
        <v>275</v>
      </c>
      <c r="AT5" s="23" t="s">
        <v>276</v>
      </c>
      <c r="AU5" s="23" t="s">
        <v>277</v>
      </c>
      <c r="AV5" s="23"/>
      <c r="AW5" s="23"/>
      <c r="AX5" s="23" t="s">
        <v>278</v>
      </c>
      <c r="AY5" s="25"/>
      <c r="AZ5" s="23" t="s">
        <v>279</v>
      </c>
      <c r="BA5" s="23"/>
      <c r="BB5" s="23"/>
      <c r="BC5" s="23"/>
      <c r="BD5" s="23" t="s">
        <v>280</v>
      </c>
      <c r="BE5" s="26"/>
      <c r="BF5" s="27" t="s">
        <v>281</v>
      </c>
      <c r="BG5" s="28" t="s">
        <v>282</v>
      </c>
      <c r="BH5" s="26" t="s">
        <v>283</v>
      </c>
      <c r="BI5" s="27" t="s">
        <v>284</v>
      </c>
      <c r="BJ5" s="28" t="s">
        <v>285</v>
      </c>
      <c r="BK5" s="23" t="s">
        <v>286</v>
      </c>
      <c r="BL5" s="23"/>
      <c r="BM5" s="23" t="s">
        <v>287</v>
      </c>
      <c r="BN5" s="23" t="s">
        <v>288</v>
      </c>
      <c r="BO5" s="23" t="s">
        <v>289</v>
      </c>
      <c r="BP5" s="23"/>
      <c r="BQ5" s="23"/>
      <c r="BR5" s="26"/>
      <c r="BS5" s="27" t="s">
        <v>290</v>
      </c>
      <c r="BT5" s="27" t="s">
        <v>291</v>
      </c>
      <c r="BU5" s="27" t="s">
        <v>292</v>
      </c>
      <c r="BV5" s="29" t="s">
        <v>293</v>
      </c>
      <c r="BW5" s="30" t="s">
        <v>294</v>
      </c>
      <c r="BX5" s="30" t="s">
        <v>295</v>
      </c>
      <c r="BY5" s="30" t="s">
        <v>296</v>
      </c>
      <c r="BZ5" s="30" t="s">
        <v>297</v>
      </c>
      <c r="CA5" s="30" t="s">
        <v>298</v>
      </c>
      <c r="CB5" s="31" t="s">
        <v>299</v>
      </c>
      <c r="CC5" s="26" t="s">
        <v>300</v>
      </c>
      <c r="CD5" s="28" t="s">
        <v>301</v>
      </c>
      <c r="CE5" s="23"/>
      <c r="CF5" s="23"/>
      <c r="CG5" s="23"/>
      <c r="CH5" s="23"/>
      <c r="CI5" s="26"/>
      <c r="CJ5" s="28" t="s">
        <v>302</v>
      </c>
      <c r="CK5" s="23"/>
      <c r="CL5" s="23" t="s">
        <v>303</v>
      </c>
      <c r="CM5" s="23"/>
      <c r="CN5" s="23" t="s">
        <v>304</v>
      </c>
      <c r="CO5" s="23" t="s">
        <v>305</v>
      </c>
      <c r="CP5" s="23" t="s">
        <v>306</v>
      </c>
      <c r="CQ5" s="23"/>
      <c r="CR5" s="23"/>
      <c r="CS5" s="23"/>
      <c r="CT5" s="26"/>
      <c r="CU5" s="27" t="s">
        <v>307</v>
      </c>
      <c r="CV5" s="27" t="s">
        <v>308</v>
      </c>
      <c r="CW5" s="27" t="s">
        <v>309</v>
      </c>
      <c r="CX5" s="27" t="s">
        <v>309</v>
      </c>
      <c r="CY5" s="27" t="s">
        <v>309</v>
      </c>
      <c r="CZ5" s="27" t="s">
        <v>310</v>
      </c>
      <c r="DA5" s="27" t="s">
        <v>309</v>
      </c>
      <c r="DB5" s="27" t="s">
        <v>311</v>
      </c>
      <c r="DC5" s="27" t="s">
        <v>312</v>
      </c>
      <c r="DD5" s="27" t="s">
        <v>309</v>
      </c>
      <c r="DE5" s="27" t="s">
        <v>309</v>
      </c>
      <c r="DF5" s="27" t="s">
        <v>309</v>
      </c>
      <c r="DG5" s="27" t="s">
        <v>313</v>
      </c>
      <c r="DH5" s="28" t="s">
        <v>309</v>
      </c>
      <c r="DI5" s="23"/>
      <c r="DJ5" s="23"/>
      <c r="DK5" s="23"/>
      <c r="DL5" s="23"/>
      <c r="DM5" s="23"/>
      <c r="DN5" s="23"/>
      <c r="DO5" s="23" t="s">
        <v>314</v>
      </c>
      <c r="DP5" s="23"/>
      <c r="DQ5" s="23"/>
      <c r="DR5" s="23"/>
      <c r="DS5" s="23"/>
      <c r="DT5" s="23"/>
      <c r="DU5" s="23"/>
      <c r="DV5" s="23"/>
      <c r="DW5" s="23"/>
      <c r="DX5" s="23"/>
      <c r="DY5" s="23"/>
      <c r="DZ5" s="23"/>
      <c r="EA5" s="23"/>
      <c r="EB5" s="23"/>
      <c r="EC5" s="23"/>
      <c r="ED5" s="23"/>
    </row>
    <row x14ac:dyDescent="0.25" r="6" customHeight="1" ht="20.25">
      <c r="A6" s="32" t="s">
        <v>315</v>
      </c>
      <c r="B6" s="13"/>
      <c r="C6" s="33" t="s">
        <v>316</v>
      </c>
      <c r="D6" s="33" t="s">
        <v>316</v>
      </c>
      <c r="E6" s="33" t="s">
        <v>316</v>
      </c>
      <c r="F6" s="33" t="s">
        <v>316</v>
      </c>
      <c r="G6" s="33" t="s">
        <v>316</v>
      </c>
      <c r="H6" s="33" t="s">
        <v>316</v>
      </c>
      <c r="I6" s="33"/>
      <c r="J6" s="33" t="s">
        <v>316</v>
      </c>
      <c r="K6" s="33"/>
      <c r="L6" s="33"/>
      <c r="M6" s="33"/>
      <c r="N6" s="33" t="s">
        <v>316</v>
      </c>
      <c r="O6" s="33" t="s">
        <v>316</v>
      </c>
      <c r="P6" s="33" t="s">
        <v>316</v>
      </c>
      <c r="Q6" s="33" t="s">
        <v>316</v>
      </c>
      <c r="R6" s="33" t="s">
        <v>316</v>
      </c>
      <c r="S6" s="33" t="s">
        <v>317</v>
      </c>
      <c r="T6" s="33"/>
      <c r="U6" s="33" t="s">
        <v>316</v>
      </c>
      <c r="V6" s="33" t="s">
        <v>316</v>
      </c>
      <c r="W6" s="33" t="s">
        <v>316</v>
      </c>
      <c r="X6" s="33"/>
      <c r="Y6" s="33"/>
      <c r="Z6" s="33"/>
      <c r="AA6" s="34" t="s">
        <v>316</v>
      </c>
      <c r="AB6" s="35"/>
      <c r="AC6" s="33" t="s">
        <v>316</v>
      </c>
      <c r="AD6" s="33" t="s">
        <v>316</v>
      </c>
      <c r="AE6" s="33" t="s">
        <v>316</v>
      </c>
      <c r="AF6" s="33" t="s">
        <v>316</v>
      </c>
      <c r="AG6" s="13"/>
      <c r="AH6" s="33" t="s">
        <v>316</v>
      </c>
      <c r="AI6" s="33" t="s">
        <v>316</v>
      </c>
      <c r="AJ6" s="33" t="s">
        <v>316</v>
      </c>
      <c r="AK6" s="33" t="s">
        <v>316</v>
      </c>
      <c r="AL6" s="33" t="s">
        <v>318</v>
      </c>
      <c r="AM6" s="33" t="s">
        <v>318</v>
      </c>
      <c r="AN6" s="33" t="s">
        <v>318</v>
      </c>
      <c r="AO6" s="34" t="s">
        <v>319</v>
      </c>
      <c r="AP6" s="35"/>
      <c r="AQ6" s="33" t="s">
        <v>316</v>
      </c>
      <c r="AR6" s="33" t="s">
        <v>316</v>
      </c>
      <c r="AS6" s="33" t="s">
        <v>316</v>
      </c>
      <c r="AT6" s="33" t="s">
        <v>316</v>
      </c>
      <c r="AU6" s="33" t="s">
        <v>316</v>
      </c>
      <c r="AV6" s="33"/>
      <c r="AW6" s="33"/>
      <c r="AX6" s="33" t="s">
        <v>316</v>
      </c>
      <c r="AY6" s="33"/>
      <c r="AZ6" s="33" t="s">
        <v>316</v>
      </c>
      <c r="BA6" s="33"/>
      <c r="BB6" s="33"/>
      <c r="BC6" s="33"/>
      <c r="BD6" s="33" t="s">
        <v>316</v>
      </c>
      <c r="BE6" s="33"/>
      <c r="BF6" s="33" t="s">
        <v>318</v>
      </c>
      <c r="BG6" s="33" t="s">
        <v>318</v>
      </c>
      <c r="BH6" s="33"/>
      <c r="BI6" s="33" t="s">
        <v>318</v>
      </c>
      <c r="BJ6" s="33" t="s">
        <v>318</v>
      </c>
      <c r="BK6" s="33" t="s">
        <v>318</v>
      </c>
      <c r="BL6" s="33"/>
      <c r="BM6" s="33" t="s">
        <v>318</v>
      </c>
      <c r="BN6" s="33" t="s">
        <v>318</v>
      </c>
      <c r="BO6" s="33" t="s">
        <v>318</v>
      </c>
      <c r="BP6" s="33"/>
      <c r="BQ6" s="33"/>
      <c r="BR6" s="33"/>
      <c r="BS6" s="33" t="s">
        <v>318</v>
      </c>
      <c r="BT6" s="33" t="s">
        <v>318</v>
      </c>
      <c r="BU6" s="33" t="s">
        <v>318</v>
      </c>
      <c r="BV6" s="33" t="s">
        <v>318</v>
      </c>
      <c r="BW6" s="33"/>
      <c r="BX6" s="33"/>
      <c r="BY6" s="33" t="s">
        <v>318</v>
      </c>
      <c r="BZ6" s="33" t="s">
        <v>318</v>
      </c>
      <c r="CA6" s="33" t="s">
        <v>318</v>
      </c>
      <c r="CB6" s="33" t="s">
        <v>318</v>
      </c>
      <c r="CC6" s="33" t="s">
        <v>318</v>
      </c>
      <c r="CD6" s="33" t="s">
        <v>318</v>
      </c>
      <c r="CE6" s="33"/>
      <c r="CF6" s="33"/>
      <c r="CG6" s="33"/>
      <c r="CH6" s="33"/>
      <c r="CI6" s="33"/>
      <c r="CJ6" s="33" t="s">
        <v>318</v>
      </c>
      <c r="CK6" s="33"/>
      <c r="CL6" s="33" t="s">
        <v>318</v>
      </c>
      <c r="CM6" s="33"/>
      <c r="CN6" s="33" t="s">
        <v>318</v>
      </c>
      <c r="CO6" s="33"/>
      <c r="CP6" s="33"/>
      <c r="CQ6" s="33"/>
      <c r="CR6" s="33"/>
      <c r="CS6" s="33"/>
      <c r="CT6" s="33"/>
      <c r="CU6" s="33" t="s">
        <v>320</v>
      </c>
      <c r="CV6" s="33" t="s">
        <v>320</v>
      </c>
      <c r="CW6" s="33"/>
      <c r="CX6" s="36"/>
      <c r="CY6" s="37"/>
      <c r="CZ6" s="33" t="s">
        <v>320</v>
      </c>
      <c r="DA6" s="33"/>
      <c r="DB6" s="33" t="s">
        <v>320</v>
      </c>
      <c r="DC6" s="33" t="s">
        <v>320</v>
      </c>
      <c r="DD6" s="33"/>
      <c r="DE6" s="33"/>
      <c r="DF6" s="33"/>
      <c r="DG6" s="33" t="s">
        <v>320</v>
      </c>
      <c r="DH6" s="33"/>
      <c r="DI6" s="33"/>
      <c r="DJ6" s="33"/>
      <c r="DK6" s="33"/>
      <c r="DL6" s="33"/>
      <c r="DM6" s="33"/>
      <c r="DN6" s="33"/>
      <c r="DO6" s="33" t="s">
        <v>318</v>
      </c>
      <c r="DP6" s="33"/>
      <c r="DQ6" s="33"/>
      <c r="DR6" s="33"/>
      <c r="DS6" s="33"/>
      <c r="DT6" s="33"/>
      <c r="DU6" s="33"/>
      <c r="DV6" s="33"/>
      <c r="DW6" s="33"/>
      <c r="DX6" s="33"/>
      <c r="DY6" s="33"/>
      <c r="DZ6" s="33"/>
      <c r="EA6" s="33"/>
      <c r="EB6" s="33"/>
      <c r="EC6" s="33"/>
      <c r="ED6" s="33"/>
    </row>
    <row x14ac:dyDescent="0.25" r="7" customHeight="1" ht="20.25">
      <c r="A7" s="32"/>
      <c r="B7" s="13"/>
      <c r="C7" s="33"/>
      <c r="D7" s="33"/>
      <c r="E7" s="33"/>
      <c r="F7" s="33"/>
      <c r="G7" s="33"/>
      <c r="H7" s="33"/>
      <c r="I7" s="33"/>
      <c r="J7" s="33"/>
      <c r="K7" s="33"/>
      <c r="L7" s="33"/>
      <c r="M7" s="33"/>
      <c r="N7" s="33"/>
      <c r="O7" s="33"/>
      <c r="P7" s="33"/>
      <c r="Q7" s="33"/>
      <c r="R7" s="33"/>
      <c r="S7" s="33"/>
      <c r="T7" s="33"/>
      <c r="U7" s="33"/>
      <c r="V7" s="33"/>
      <c r="W7" s="38"/>
      <c r="X7" s="33"/>
      <c r="Y7" s="33"/>
      <c r="Z7" s="33"/>
      <c r="AA7" s="33"/>
      <c r="AB7" s="33"/>
      <c r="AC7" s="33"/>
      <c r="AD7" s="33"/>
      <c r="AE7" s="33"/>
      <c r="AF7" s="33"/>
      <c r="AG7" s="13"/>
      <c r="AH7" s="33"/>
      <c r="AI7" s="33"/>
      <c r="AJ7" s="33"/>
      <c r="AK7" s="33"/>
      <c r="AL7" s="33"/>
      <c r="AM7" s="33"/>
      <c r="AN7" s="33"/>
      <c r="AO7" s="39"/>
      <c r="AP7" s="33"/>
      <c r="AQ7" s="33"/>
      <c r="AR7" s="33"/>
      <c r="AS7" s="33"/>
      <c r="AT7" s="33"/>
      <c r="AU7" s="33"/>
      <c r="AV7" s="33"/>
      <c r="AW7" s="33"/>
      <c r="AX7" s="40"/>
      <c r="AY7" s="33"/>
      <c r="AZ7" s="33"/>
      <c r="BA7" s="33"/>
      <c r="BB7" s="33"/>
      <c r="BC7" s="33"/>
      <c r="BD7" s="33"/>
      <c r="BE7" s="33"/>
      <c r="BF7" s="33"/>
      <c r="BG7" s="40"/>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6"/>
      <c r="CY7" s="37"/>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row>
    <row x14ac:dyDescent="0.25" r="8" customHeight="1" ht="19.5">
      <c r="A8" s="41" t="s">
        <v>321</v>
      </c>
      <c r="B8" s="13" t="s">
        <v>322</v>
      </c>
      <c r="C8" s="41" t="s">
        <v>322</v>
      </c>
      <c r="D8" s="41" t="s">
        <v>322</v>
      </c>
      <c r="E8" s="41" t="s">
        <v>322</v>
      </c>
      <c r="F8" s="41" t="s">
        <v>322</v>
      </c>
      <c r="G8" s="41" t="s">
        <v>322</v>
      </c>
      <c r="H8" s="41" t="s">
        <v>322</v>
      </c>
      <c r="I8" s="41" t="s">
        <v>322</v>
      </c>
      <c r="J8" s="41" t="s">
        <v>322</v>
      </c>
      <c r="K8" s="41" t="s">
        <v>322</v>
      </c>
      <c r="L8" s="41" t="s">
        <v>323</v>
      </c>
      <c r="M8" s="41"/>
      <c r="N8" s="41" t="s">
        <v>322</v>
      </c>
      <c r="O8" s="41" t="s">
        <v>322</v>
      </c>
      <c r="P8" s="41"/>
      <c r="Q8" s="41"/>
      <c r="R8" s="41" t="s">
        <v>322</v>
      </c>
      <c r="S8" s="41" t="s">
        <v>322</v>
      </c>
      <c r="T8" s="41"/>
      <c r="U8" s="41" t="s">
        <v>322</v>
      </c>
      <c r="V8" s="41" t="s">
        <v>322</v>
      </c>
      <c r="W8" s="41" t="s">
        <v>322</v>
      </c>
      <c r="X8" s="42"/>
      <c r="Y8" s="42"/>
      <c r="Z8" s="43"/>
      <c r="AA8" s="41" t="s">
        <v>322</v>
      </c>
      <c r="AB8" s="41" t="s">
        <v>324</v>
      </c>
      <c r="AC8" s="41" t="s">
        <v>322</v>
      </c>
      <c r="AD8" s="41" t="s">
        <v>322</v>
      </c>
      <c r="AE8" s="42"/>
      <c r="AF8" s="41" t="s">
        <v>322</v>
      </c>
      <c r="AG8" s="44" t="s">
        <v>322</v>
      </c>
      <c r="AH8" s="41" t="s">
        <v>325</v>
      </c>
      <c r="AI8" s="41" t="s">
        <v>322</v>
      </c>
      <c r="AJ8" s="41" t="s">
        <v>322</v>
      </c>
      <c r="AK8" s="41" t="s">
        <v>322</v>
      </c>
      <c r="AL8" s="41" t="s">
        <v>325</v>
      </c>
      <c r="AM8" s="41" t="s">
        <v>325</v>
      </c>
      <c r="AN8" s="41" t="s">
        <v>325</v>
      </c>
      <c r="AO8" s="41" t="s">
        <v>322</v>
      </c>
      <c r="AP8" s="41" t="s">
        <v>322</v>
      </c>
      <c r="AQ8" s="41" t="s">
        <v>325</v>
      </c>
      <c r="AR8" s="41" t="s">
        <v>325</v>
      </c>
      <c r="AS8" s="41" t="s">
        <v>325</v>
      </c>
      <c r="AT8" s="41" t="s">
        <v>325</v>
      </c>
      <c r="AU8" s="41" t="s">
        <v>325</v>
      </c>
      <c r="AV8" s="41"/>
      <c r="AW8" s="41"/>
      <c r="AX8" s="41" t="s">
        <v>325</v>
      </c>
      <c r="AY8" s="41"/>
      <c r="AZ8" s="41" t="s">
        <v>322</v>
      </c>
      <c r="BA8" s="41"/>
      <c r="BB8" s="41"/>
      <c r="BC8" s="41"/>
      <c r="BD8" s="41" t="s">
        <v>325</v>
      </c>
      <c r="BE8" s="41"/>
      <c r="BF8" s="41" t="s">
        <v>325</v>
      </c>
      <c r="BG8" s="41" t="s">
        <v>325</v>
      </c>
      <c r="BH8" s="41" t="s">
        <v>325</v>
      </c>
      <c r="BI8" s="41" t="s">
        <v>325</v>
      </c>
      <c r="BJ8" s="41" t="s">
        <v>325</v>
      </c>
      <c r="BK8" s="41" t="s">
        <v>325</v>
      </c>
      <c r="BL8" s="41"/>
      <c r="BM8" s="41" t="s">
        <v>325</v>
      </c>
      <c r="BN8" s="41" t="s">
        <v>325</v>
      </c>
      <c r="BO8" s="41" t="s">
        <v>325</v>
      </c>
      <c r="BP8" s="41"/>
      <c r="BQ8" s="41"/>
      <c r="BR8" s="41"/>
      <c r="BS8" s="41" t="s">
        <v>325</v>
      </c>
      <c r="BT8" s="41" t="s">
        <v>325</v>
      </c>
      <c r="BU8" s="41" t="s">
        <v>325</v>
      </c>
      <c r="BV8" s="41" t="s">
        <v>325</v>
      </c>
      <c r="BW8" s="41" t="s">
        <v>322</v>
      </c>
      <c r="BX8" s="41" t="s">
        <v>322</v>
      </c>
      <c r="BY8" s="41" t="s">
        <v>325</v>
      </c>
      <c r="BZ8" s="41" t="s">
        <v>325</v>
      </c>
      <c r="CA8" s="41" t="s">
        <v>325</v>
      </c>
      <c r="CB8" s="41" t="s">
        <v>325</v>
      </c>
      <c r="CC8" s="41" t="s">
        <v>325</v>
      </c>
      <c r="CD8" s="41" t="s">
        <v>325</v>
      </c>
      <c r="CE8" s="41"/>
      <c r="CF8" s="41"/>
      <c r="CG8" s="41"/>
      <c r="CH8" s="41"/>
      <c r="CI8" s="41"/>
      <c r="CJ8" s="41" t="s">
        <v>325</v>
      </c>
      <c r="CK8" s="41"/>
      <c r="CL8" s="41" t="s">
        <v>325</v>
      </c>
      <c r="CM8" s="41"/>
      <c r="CN8" s="41" t="s">
        <v>325</v>
      </c>
      <c r="CO8" s="41" t="s">
        <v>325</v>
      </c>
      <c r="CP8" s="41" t="s">
        <v>325</v>
      </c>
      <c r="CQ8" s="41" t="s">
        <v>325</v>
      </c>
      <c r="CR8" s="41" t="s">
        <v>325</v>
      </c>
      <c r="CS8" s="41" t="s">
        <v>325</v>
      </c>
      <c r="CT8" s="41" t="s">
        <v>325</v>
      </c>
      <c r="CU8" s="41" t="s">
        <v>325</v>
      </c>
      <c r="CV8" s="41" t="s">
        <v>325</v>
      </c>
      <c r="CW8" s="45">
        <f>CZ/12,5*100 </f>
      </c>
      <c r="CX8" s="46">
        <f>CW*0,01</f>
      </c>
      <c r="CY8" s="47">
        <f>CX-Current year: Ferietillæg til gode for [YEAR] (from Payslip)</f>
      </c>
      <c r="CZ8" s="41" t="s">
        <v>325</v>
      </c>
      <c r="DA8" s="45">
        <f>CZ/CU*CV</f>
      </c>
      <c r="DB8" s="41" t="s">
        <v>325</v>
      </c>
      <c r="DC8" s="41" t="s">
        <v>325</v>
      </c>
      <c r="DD8" s="45">
        <f>DG/12,5*100</f>
      </c>
      <c r="DE8" s="45">
        <f>DD*0,01</f>
      </c>
      <c r="DF8" s="45">
        <f>DE-Previous year: Ferietillæg til gode for [YEAR] (from Payslip)</f>
      </c>
      <c r="DG8" s="41" t="s">
        <v>325</v>
      </c>
      <c r="DH8" s="45">
        <f>DG/DB*DC</f>
      </c>
      <c r="DI8" s="41"/>
      <c r="DJ8" s="41"/>
      <c r="DK8" s="41"/>
      <c r="DL8" s="41"/>
      <c r="DM8" s="41"/>
      <c r="DN8" s="41"/>
      <c r="DO8" s="41" t="s">
        <v>325</v>
      </c>
      <c r="DP8" s="41"/>
      <c r="DQ8" s="41"/>
      <c r="DR8" s="41"/>
      <c r="DS8" s="41"/>
      <c r="DT8" s="41"/>
      <c r="DU8" s="41"/>
      <c r="DV8" s="41"/>
      <c r="DW8" s="41"/>
      <c r="DX8" s="41"/>
      <c r="DY8" s="41"/>
      <c r="DZ8" s="41"/>
      <c r="EA8" s="41"/>
      <c r="EB8" s="41"/>
      <c r="EC8" s="41"/>
      <c r="ED8" s="48"/>
    </row>
    <row x14ac:dyDescent="0.25" r="9" customHeight="1" ht="131.25">
      <c r="A9" s="12" t="s">
        <v>326</v>
      </c>
      <c r="B9" s="49"/>
      <c r="C9" s="12" t="s">
        <v>327</v>
      </c>
      <c r="D9" s="12"/>
      <c r="E9" s="12"/>
      <c r="F9" s="12" t="s">
        <v>5</v>
      </c>
      <c r="G9" s="12" t="s">
        <v>6</v>
      </c>
      <c r="H9" s="12"/>
      <c r="I9" s="12"/>
      <c r="J9" s="12"/>
      <c r="K9" s="12"/>
      <c r="L9" s="12" t="s">
        <v>328</v>
      </c>
      <c r="M9" s="12"/>
      <c r="N9" s="12" t="s">
        <v>329</v>
      </c>
      <c r="O9" s="12" t="s">
        <v>330</v>
      </c>
      <c r="P9" s="12"/>
      <c r="Q9" s="12"/>
      <c r="R9" s="12"/>
      <c r="S9" s="12"/>
      <c r="T9" s="12"/>
      <c r="U9" s="12" t="s">
        <v>331</v>
      </c>
      <c r="V9" s="12" t="s">
        <v>331</v>
      </c>
      <c r="W9" s="50" t="s">
        <v>332</v>
      </c>
      <c r="X9" s="12"/>
      <c r="Y9" s="12"/>
      <c r="Z9" s="51"/>
      <c r="AA9" s="41" t="s">
        <v>333</v>
      </c>
      <c r="AB9" s="52" t="s">
        <v>334</v>
      </c>
      <c r="AC9" s="52" t="s">
        <v>335</v>
      </c>
      <c r="AD9" s="12"/>
      <c r="AE9" s="12"/>
      <c r="AF9" s="53" t="s">
        <v>336</v>
      </c>
      <c r="AG9" s="54" t="s">
        <v>337</v>
      </c>
      <c r="AH9" s="55"/>
      <c r="AI9" s="52" t="s">
        <v>338</v>
      </c>
      <c r="AJ9" s="52" t="s">
        <v>339</v>
      </c>
      <c r="AK9" s="52" t="s">
        <v>340</v>
      </c>
      <c r="AL9" s="12"/>
      <c r="AM9" s="12"/>
      <c r="AN9" s="56"/>
      <c r="AO9" s="57" t="s">
        <v>341</v>
      </c>
      <c r="AP9" s="58" t="s">
        <v>342</v>
      </c>
      <c r="AQ9" s="12"/>
      <c r="AR9" s="12"/>
      <c r="AS9" s="12"/>
      <c r="AT9" s="12"/>
      <c r="AU9" s="12"/>
      <c r="AV9" s="12"/>
      <c r="AW9" s="12"/>
      <c r="AX9" s="49"/>
      <c r="AY9" s="12"/>
      <c r="AZ9" s="52" t="s">
        <v>343</v>
      </c>
      <c r="BA9" s="12"/>
      <c r="BB9" s="12"/>
      <c r="BC9" s="12"/>
      <c r="BD9" s="12"/>
      <c r="BE9" s="12"/>
      <c r="BF9" s="12"/>
      <c r="BG9" s="49"/>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t="s">
        <v>344</v>
      </c>
      <c r="CV9" s="12" t="s">
        <v>345</v>
      </c>
      <c r="CW9" s="12" t="s">
        <v>346</v>
      </c>
      <c r="CX9" s="12" t="s">
        <v>347</v>
      </c>
      <c r="CY9" s="59"/>
      <c r="CZ9" s="12" t="s">
        <v>348</v>
      </c>
      <c r="DA9" s="12"/>
      <c r="DB9" s="12" t="s">
        <v>349</v>
      </c>
      <c r="DC9" s="12" t="s">
        <v>350</v>
      </c>
      <c r="DD9" s="12"/>
      <c r="DE9" s="12"/>
      <c r="DF9" s="12"/>
      <c r="DG9" s="12" t="s">
        <v>351</v>
      </c>
      <c r="DH9" s="12"/>
      <c r="DI9" s="12"/>
      <c r="DJ9" s="12"/>
      <c r="DK9" s="12"/>
      <c r="DL9" s="12"/>
      <c r="DM9" s="12"/>
      <c r="DN9" s="12"/>
      <c r="DO9" s="12"/>
      <c r="DP9" s="12"/>
      <c r="DQ9" s="12"/>
      <c r="DR9" s="12"/>
      <c r="DS9" s="12"/>
      <c r="DT9" s="12"/>
      <c r="DU9" s="12"/>
      <c r="DV9" s="12"/>
      <c r="DW9" s="12"/>
      <c r="DX9" s="12"/>
      <c r="DY9" s="12"/>
      <c r="DZ9" s="12"/>
      <c r="EA9" s="12"/>
      <c r="EB9" s="12"/>
      <c r="EC9" s="12"/>
      <c r="ED9" s="51"/>
    </row>
    <row x14ac:dyDescent="0.25" r="10" customHeight="1" ht="19.5">
      <c r="A10" s="60"/>
      <c r="B10" s="60"/>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60"/>
      <c r="AD10" s="51"/>
      <c r="AE10" s="51"/>
      <c r="AF10" s="51"/>
      <c r="AG10" s="12"/>
      <c r="AH10" s="51"/>
      <c r="AI10" s="51"/>
      <c r="AJ10" s="51"/>
      <c r="AK10" s="61"/>
      <c r="AL10" s="51"/>
      <c r="AM10" s="51"/>
      <c r="AN10" s="51"/>
      <c r="AO10" s="62"/>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row>
    <row x14ac:dyDescent="0.25" r="11" customHeight="1" ht="46.5">
      <c r="A11" s="51" t="s">
        <v>352</v>
      </c>
      <c r="B11" s="60"/>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63" t="s">
        <v>353</v>
      </c>
      <c r="AC11" s="51"/>
      <c r="AD11" s="51"/>
      <c r="AE11" s="51"/>
      <c r="AF11" s="51"/>
      <c r="AG11" s="51"/>
      <c r="AH11" s="51"/>
      <c r="AI11" s="51"/>
      <c r="AJ11" s="51"/>
      <c r="AK11" s="51"/>
      <c r="AL11" s="51"/>
      <c r="AM11" s="51"/>
      <c r="AN11" s="51"/>
      <c r="AO11" s="51"/>
      <c r="AP11" s="51" t="s">
        <v>353</v>
      </c>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c r="DQ11" s="51"/>
      <c r="DR11" s="51"/>
      <c r="DS11" s="51"/>
      <c r="DT11" s="51"/>
      <c r="DU11" s="51"/>
      <c r="DV11" s="51"/>
      <c r="DW11" s="51"/>
      <c r="DX11" s="51"/>
      <c r="DY11" s="51"/>
      <c r="DZ11" s="51"/>
      <c r="EA11" s="51"/>
      <c r="EB11" s="51"/>
      <c r="EC11" s="51"/>
      <c r="ED11" s="51"/>
    </row>
    <row x14ac:dyDescent="0.25" r="12" customHeight="1" ht="19.5">
      <c r="A12" s="51"/>
      <c r="B12" s="60"/>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row>
    <row x14ac:dyDescent="0.25" r="13" customHeight="1" ht="19.5">
      <c r="A13" s="51"/>
      <c r="B13" s="60"/>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c r="DJ13" s="51"/>
      <c r="DK13" s="51"/>
      <c r="DL13" s="51"/>
      <c r="DM13" s="51"/>
      <c r="DN13" s="51"/>
      <c r="DO13" s="51"/>
      <c r="DP13" s="51"/>
      <c r="DQ13" s="51"/>
      <c r="DR13" s="51"/>
      <c r="DS13" s="51"/>
      <c r="DT13" s="51"/>
      <c r="DU13" s="51"/>
      <c r="DV13" s="51"/>
      <c r="DW13" s="51"/>
      <c r="DX13" s="51"/>
      <c r="DY13" s="51"/>
      <c r="DZ13" s="51"/>
      <c r="EA13" s="51"/>
      <c r="EB13" s="51"/>
      <c r="EC13" s="51"/>
      <c r="ED13" s="51"/>
    </row>
    <row x14ac:dyDescent="0.25" r="14" customHeight="1" ht="19.5">
      <c r="A14" s="51"/>
      <c r="B14" s="60"/>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64"/>
      <c r="AQ14" s="51"/>
      <c r="AR14" s="51"/>
      <c r="AS14" s="64"/>
      <c r="AT14" s="64"/>
      <c r="AU14" s="51"/>
      <c r="AV14" s="51"/>
      <c r="AW14" s="51"/>
      <c r="AX14" s="51"/>
      <c r="AY14" s="51"/>
      <c r="AZ14" s="51"/>
      <c r="BA14" s="51"/>
      <c r="BB14" s="51"/>
      <c r="BC14" s="51"/>
      <c r="BD14" s="51"/>
      <c r="BE14" s="51"/>
      <c r="BF14" s="51"/>
      <c r="BG14" s="64"/>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c r="EC14" s="51"/>
      <c r="ED14" s="51"/>
    </row>
    <row x14ac:dyDescent="0.25" r="15" customHeight="1" ht="19.5">
      <c r="A15" s="51"/>
      <c r="B15" s="60"/>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row>
    <row x14ac:dyDescent="0.25" r="16" customHeight="1" ht="19.5">
      <c r="A16" s="51"/>
      <c r="B16" s="60"/>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60"/>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c r="DJ16" s="51"/>
      <c r="DK16" s="51"/>
      <c r="DL16" s="51"/>
      <c r="DM16" s="51"/>
      <c r="DN16" s="51"/>
      <c r="DO16" s="51"/>
      <c r="DP16" s="51"/>
      <c r="DQ16" s="51"/>
      <c r="DR16" s="51"/>
      <c r="DS16" s="51"/>
      <c r="DT16" s="51"/>
      <c r="DU16" s="51"/>
      <c r="DV16" s="51"/>
      <c r="DW16" s="51"/>
      <c r="DX16" s="51"/>
      <c r="DY16" s="51"/>
      <c r="DZ16" s="51"/>
      <c r="EA16" s="51"/>
      <c r="EB16" s="51"/>
      <c r="EC16" s="51"/>
      <c r="ED16" s="51"/>
    </row>
    <row x14ac:dyDescent="0.25" r="17" customHeight="1" ht="19.5">
      <c r="A17" s="51"/>
      <c r="B17" s="60"/>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65"/>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c r="DJ17" s="51"/>
      <c r="DK17" s="51"/>
      <c r="DL17" s="51"/>
      <c r="DM17" s="51"/>
      <c r="DN17" s="51"/>
      <c r="DO17" s="51"/>
      <c r="DP17" s="51"/>
      <c r="DQ17" s="51"/>
      <c r="DR17" s="51"/>
      <c r="DS17" s="51"/>
      <c r="DT17" s="51"/>
      <c r="DU17" s="51"/>
      <c r="DV17" s="51"/>
      <c r="DW17" s="51"/>
      <c r="DX17" s="51"/>
      <c r="DY17" s="51"/>
      <c r="DZ17" s="51"/>
      <c r="EA17" s="51"/>
      <c r="EB17" s="51"/>
      <c r="EC17" s="51"/>
      <c r="ED17" s="51"/>
    </row>
    <row x14ac:dyDescent="0.25" r="18" customHeight="1" ht="19.5">
      <c r="A18" s="51"/>
      <c r="B18" s="60"/>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15"/>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row>
    <row x14ac:dyDescent="0.25" r="19" customHeight="1" ht="19.5">
      <c r="A19" s="51"/>
      <c r="B19" s="60"/>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60"/>
      <c r="AI19" s="51"/>
      <c r="AJ19" s="51"/>
      <c r="AK19" s="15"/>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c r="DJ19" s="51"/>
      <c r="DK19" s="51"/>
      <c r="DL19" s="51"/>
      <c r="DM19" s="51"/>
      <c r="DN19" s="51"/>
      <c r="DO19" s="51"/>
      <c r="DP19" s="51"/>
      <c r="DQ19" s="51"/>
      <c r="DR19" s="51"/>
      <c r="DS19" s="51"/>
      <c r="DT19" s="51"/>
      <c r="DU19" s="51"/>
      <c r="DV19" s="51"/>
      <c r="DW19" s="51"/>
      <c r="DX19" s="51"/>
      <c r="DY19" s="51"/>
      <c r="DZ19" s="51"/>
      <c r="EA19" s="51"/>
      <c r="EB19" s="51"/>
      <c r="EC19" s="51"/>
      <c r="ED19" s="51"/>
    </row>
    <row x14ac:dyDescent="0.25" r="20" customHeight="1" ht="19.5">
      <c r="A20" s="51"/>
      <c r="B20" s="60"/>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60"/>
      <c r="AI20" s="51"/>
      <c r="AJ20" s="51"/>
      <c r="AK20" s="15"/>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row>
    <row x14ac:dyDescent="0.25" r="21" customHeight="1" ht="19.5">
      <c r="A21" s="51"/>
      <c r="B21" s="60"/>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15"/>
      <c r="AI21" s="51"/>
      <c r="AJ21" s="51"/>
      <c r="AK21" s="15"/>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c r="DJ21" s="51"/>
      <c r="DK21" s="51"/>
      <c r="DL21" s="51"/>
      <c r="DM21" s="51"/>
      <c r="DN21" s="51"/>
      <c r="DO21" s="51"/>
      <c r="DP21" s="51"/>
      <c r="DQ21" s="51"/>
      <c r="DR21" s="51"/>
      <c r="DS21" s="51"/>
      <c r="DT21" s="51"/>
      <c r="DU21" s="51"/>
      <c r="DV21" s="51"/>
      <c r="DW21" s="51"/>
      <c r="DX21" s="51"/>
      <c r="DY21" s="51"/>
      <c r="DZ21" s="51"/>
      <c r="EA21" s="51"/>
      <c r="EB21" s="51"/>
      <c r="EC21" s="51"/>
      <c r="ED21" s="51"/>
    </row>
    <row x14ac:dyDescent="0.25" r="22" customHeight="1" ht="19.5">
      <c r="A22" s="51"/>
      <c r="B22" s="60"/>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15"/>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c r="DJ22" s="51"/>
      <c r="DK22" s="51"/>
      <c r="DL22" s="51"/>
      <c r="DM22" s="51"/>
      <c r="DN22" s="51"/>
      <c r="DO22" s="51"/>
      <c r="DP22" s="51"/>
      <c r="DQ22" s="51"/>
      <c r="DR22" s="51"/>
      <c r="DS22" s="51"/>
      <c r="DT22" s="51"/>
      <c r="DU22" s="51"/>
      <c r="DV22" s="51"/>
      <c r="DW22" s="51"/>
      <c r="DX22" s="51"/>
      <c r="DY22" s="51"/>
      <c r="DZ22" s="51"/>
      <c r="EA22" s="51"/>
      <c r="EB22" s="51"/>
      <c r="EC22" s="51"/>
      <c r="ED22" s="51"/>
    </row>
    <row x14ac:dyDescent="0.25" r="23" customHeight="1" ht="19.5">
      <c r="A23" s="51"/>
      <c r="B23" s="60"/>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15"/>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c r="DQ23" s="51"/>
      <c r="DR23" s="51"/>
      <c r="DS23" s="51"/>
      <c r="DT23" s="51"/>
      <c r="DU23" s="51"/>
      <c r="DV23" s="51"/>
      <c r="DW23" s="51"/>
      <c r="DX23" s="51"/>
      <c r="DY23" s="51"/>
      <c r="DZ23" s="51"/>
      <c r="EA23" s="51"/>
      <c r="EB23" s="51"/>
      <c r="EC23" s="51"/>
      <c r="ED23" s="51"/>
    </row>
    <row x14ac:dyDescent="0.25" r="24" customHeight="1" ht="19.5">
      <c r="A24" s="51"/>
      <c r="B24" s="60"/>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15"/>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c r="DJ24" s="51"/>
      <c r="DK24" s="51"/>
      <c r="DL24" s="51"/>
      <c r="DM24" s="51"/>
      <c r="DN24" s="51"/>
      <c r="DO24" s="51"/>
      <c r="DP24" s="51"/>
      <c r="DQ24" s="51"/>
      <c r="DR24" s="51"/>
      <c r="DS24" s="51"/>
      <c r="DT24" s="51"/>
      <c r="DU24" s="51"/>
      <c r="DV24" s="51"/>
      <c r="DW24" s="51"/>
      <c r="DX24" s="51"/>
      <c r="DY24" s="51"/>
      <c r="DZ24" s="51"/>
      <c r="EA24" s="51"/>
      <c r="EB24" s="51"/>
      <c r="EC24" s="51"/>
      <c r="ED24" s="51"/>
    </row>
    <row x14ac:dyDescent="0.25" r="25" customHeight="1" ht="19.5">
      <c r="A25" s="51"/>
      <c r="B25" s="60"/>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15"/>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row>
    <row x14ac:dyDescent="0.25" r="26" customHeight="1" ht="19.5">
      <c r="A26" s="51"/>
      <c r="B26" s="60"/>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15"/>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row>
    <row x14ac:dyDescent="0.25" r="27" customHeight="1" ht="19.5">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51"/>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c r="CA27" s="60"/>
      <c r="CB27" s="60"/>
      <c r="CC27" s="60"/>
      <c r="CD27" s="60"/>
      <c r="CE27" s="60"/>
      <c r="CF27" s="60"/>
      <c r="CG27" s="60"/>
      <c r="CH27" s="60"/>
      <c r="CI27" s="60"/>
      <c r="CJ27" s="60"/>
      <c r="CK27" s="60"/>
      <c r="CL27" s="60"/>
      <c r="CM27" s="60"/>
      <c r="CN27" s="60"/>
      <c r="CO27" s="60"/>
      <c r="CP27" s="60"/>
      <c r="CQ27" s="60"/>
      <c r="CR27" s="60"/>
      <c r="CS27" s="60"/>
      <c r="CT27" s="60"/>
      <c r="CU27" s="60"/>
      <c r="CV27" s="60"/>
      <c r="CW27" s="60"/>
      <c r="CX27" s="60"/>
      <c r="CY27" s="60"/>
      <c r="CZ27" s="60"/>
      <c r="DA27" s="60"/>
      <c r="DB27" s="60"/>
      <c r="DC27" s="60"/>
      <c r="DD27" s="60"/>
      <c r="DE27" s="60"/>
      <c r="DF27" s="60"/>
      <c r="DG27" s="60"/>
      <c r="DH27" s="60"/>
      <c r="DI27" s="60"/>
      <c r="DJ27" s="60"/>
      <c r="DK27" s="60"/>
      <c r="DL27" s="60"/>
      <c r="DM27" s="60"/>
      <c r="DN27" s="60"/>
      <c r="DO27" s="60"/>
      <c r="DP27" s="60"/>
      <c r="DQ27" s="60"/>
      <c r="DR27" s="60"/>
      <c r="DS27" s="60"/>
      <c r="DT27" s="60"/>
      <c r="DU27" s="60"/>
      <c r="DV27" s="60"/>
      <c r="DW27" s="60"/>
      <c r="DX27" s="60"/>
      <c r="DY27" s="60"/>
      <c r="DZ27" s="60"/>
      <c r="EA27" s="60"/>
      <c r="EB27" s="60"/>
      <c r="EC27" s="60"/>
      <c r="ED27" s="60"/>
    </row>
    <row x14ac:dyDescent="0.25" r="28" customHeight="1" ht="1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51"/>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c r="CA28" s="60"/>
      <c r="CB28" s="60"/>
      <c r="CC28" s="60"/>
      <c r="CD28" s="60"/>
      <c r="CE28" s="60"/>
      <c r="CF28" s="60"/>
      <c r="CG28" s="60"/>
      <c r="CH28" s="60"/>
      <c r="CI28" s="60"/>
      <c r="CJ28" s="60"/>
      <c r="CK28" s="60"/>
      <c r="CL28" s="60"/>
      <c r="CM28" s="60"/>
      <c r="CN28" s="60"/>
      <c r="CO28" s="60"/>
      <c r="CP28" s="60"/>
      <c r="CQ28" s="60"/>
      <c r="CR28" s="60"/>
      <c r="CS28" s="60"/>
      <c r="CT28" s="60"/>
      <c r="CU28" s="60"/>
      <c r="CV28" s="60"/>
      <c r="CW28" s="60"/>
      <c r="CX28" s="60"/>
      <c r="CY28" s="60"/>
      <c r="CZ28" s="60"/>
      <c r="DA28" s="60"/>
      <c r="DB28" s="60"/>
      <c r="DC28" s="60"/>
      <c r="DD28" s="60"/>
      <c r="DE28" s="60"/>
      <c r="DF28" s="60"/>
      <c r="DG28" s="60"/>
      <c r="DH28" s="60"/>
      <c r="DI28" s="60"/>
      <c r="DJ28" s="60"/>
      <c r="DK28" s="60"/>
      <c r="DL28" s="60"/>
      <c r="DM28" s="60"/>
      <c r="DN28" s="60"/>
      <c r="DO28" s="60"/>
      <c r="DP28" s="60"/>
      <c r="DQ28" s="60"/>
      <c r="DR28" s="60"/>
      <c r="DS28" s="60"/>
      <c r="DT28" s="60"/>
      <c r="DU28" s="60"/>
      <c r="DV28" s="60"/>
      <c r="DW28" s="60"/>
      <c r="DX28" s="60"/>
      <c r="DY28" s="60"/>
      <c r="DZ28" s="60"/>
      <c r="EA28" s="60"/>
      <c r="EB28" s="60"/>
      <c r="EC28" s="60"/>
      <c r="ED28" s="60"/>
    </row>
    <row x14ac:dyDescent="0.25" r="29" customHeight="1" ht="18">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51"/>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0"/>
      <c r="BZ29" s="60"/>
      <c r="CA29" s="60"/>
      <c r="CB29" s="60"/>
      <c r="CC29" s="60"/>
      <c r="CD29" s="60"/>
      <c r="CE29" s="60"/>
      <c r="CF29" s="60"/>
      <c r="CG29" s="60"/>
      <c r="CH29" s="60"/>
      <c r="CI29" s="60"/>
      <c r="CJ29" s="60"/>
      <c r="CK29" s="60"/>
      <c r="CL29" s="60"/>
      <c r="CM29" s="60"/>
      <c r="CN29" s="60"/>
      <c r="CO29" s="60"/>
      <c r="CP29" s="60"/>
      <c r="CQ29" s="60"/>
      <c r="CR29" s="60"/>
      <c r="CS29" s="60"/>
      <c r="CT29" s="60"/>
      <c r="CU29" s="60"/>
      <c r="CV29" s="60"/>
      <c r="CW29" s="60"/>
      <c r="CX29" s="60"/>
      <c r="CY29" s="60"/>
      <c r="CZ29" s="60"/>
      <c r="DA29" s="60"/>
      <c r="DB29" s="60"/>
      <c r="DC29" s="60"/>
      <c r="DD29" s="60"/>
      <c r="DE29" s="60"/>
      <c r="DF29" s="60"/>
      <c r="DG29" s="60"/>
      <c r="DH29" s="60"/>
      <c r="DI29" s="60"/>
      <c r="DJ29" s="60"/>
      <c r="DK29" s="60"/>
      <c r="DL29" s="60"/>
      <c r="DM29" s="60"/>
      <c r="DN29" s="60"/>
      <c r="DO29" s="60"/>
      <c r="DP29" s="60"/>
      <c r="DQ29" s="60"/>
      <c r="DR29" s="60"/>
      <c r="DS29" s="60"/>
      <c r="DT29" s="60"/>
      <c r="DU29" s="60"/>
      <c r="DV29" s="60"/>
      <c r="DW29" s="60"/>
      <c r="DX29" s="60"/>
      <c r="DY29" s="60"/>
      <c r="DZ29" s="60"/>
      <c r="EA29" s="60"/>
      <c r="EB29" s="60"/>
      <c r="EC29" s="60"/>
      <c r="ED29" s="60"/>
    </row>
    <row x14ac:dyDescent="0.25" r="30" customHeight="1" ht="18">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51"/>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c r="CT30" s="60"/>
      <c r="CU30" s="60"/>
      <c r="CV30" s="60"/>
      <c r="CW30" s="60"/>
      <c r="CX30" s="60"/>
      <c r="CY30" s="60"/>
      <c r="CZ30" s="60"/>
      <c r="DA30" s="60"/>
      <c r="DB30" s="60"/>
      <c r="DC30" s="60"/>
      <c r="DD30" s="60"/>
      <c r="DE30" s="60"/>
      <c r="DF30" s="60"/>
      <c r="DG30" s="60"/>
      <c r="DH30" s="60"/>
      <c r="DI30" s="60"/>
      <c r="DJ30" s="60"/>
      <c r="DK30" s="60"/>
      <c r="DL30" s="60"/>
      <c r="DM30" s="60"/>
      <c r="DN30" s="60"/>
      <c r="DO30" s="60"/>
      <c r="DP30" s="60"/>
      <c r="DQ30" s="60"/>
      <c r="DR30" s="60"/>
      <c r="DS30" s="60"/>
      <c r="DT30" s="60"/>
      <c r="DU30" s="60"/>
      <c r="DV30" s="60"/>
      <c r="DW30" s="60"/>
      <c r="DX30" s="60"/>
      <c r="DY30" s="60"/>
      <c r="DZ30" s="60"/>
      <c r="EA30" s="60"/>
      <c r="EB30" s="60"/>
      <c r="EC30" s="60"/>
      <c r="ED30" s="60"/>
    </row>
    <row x14ac:dyDescent="0.25" r="31" customHeight="1" ht="18">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51"/>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c r="CA31" s="60"/>
      <c r="CB31" s="60"/>
      <c r="CC31" s="60"/>
      <c r="CD31" s="60"/>
      <c r="CE31" s="60"/>
      <c r="CF31" s="60"/>
      <c r="CG31" s="60"/>
      <c r="CH31" s="60"/>
      <c r="CI31" s="60"/>
      <c r="CJ31" s="60"/>
      <c r="CK31" s="60"/>
      <c r="CL31" s="60"/>
      <c r="CM31" s="60"/>
      <c r="CN31" s="60"/>
      <c r="CO31" s="60"/>
      <c r="CP31" s="60"/>
      <c r="CQ31" s="60"/>
      <c r="CR31" s="60"/>
      <c r="CS31" s="60"/>
      <c r="CT31" s="60"/>
      <c r="CU31" s="60"/>
      <c r="CV31" s="60"/>
      <c r="CW31" s="60"/>
      <c r="CX31" s="60"/>
      <c r="CY31" s="60"/>
      <c r="CZ31" s="60"/>
      <c r="DA31" s="60"/>
      <c r="DB31" s="60"/>
      <c r="DC31" s="60"/>
      <c r="DD31" s="60"/>
      <c r="DE31" s="60"/>
      <c r="DF31" s="60"/>
      <c r="DG31" s="60"/>
      <c r="DH31" s="60"/>
      <c r="DI31" s="60"/>
      <c r="DJ31" s="60"/>
      <c r="DK31" s="60"/>
      <c r="DL31" s="60"/>
      <c r="DM31" s="60"/>
      <c r="DN31" s="60"/>
      <c r="DO31" s="60"/>
      <c r="DP31" s="60"/>
      <c r="DQ31" s="60"/>
      <c r="DR31" s="60"/>
      <c r="DS31" s="60"/>
      <c r="DT31" s="60"/>
      <c r="DU31" s="60"/>
      <c r="DV31" s="60"/>
      <c r="DW31" s="60"/>
      <c r="DX31" s="60"/>
      <c r="DY31" s="60"/>
      <c r="DZ31" s="60"/>
      <c r="EA31" s="60"/>
      <c r="EB31" s="60"/>
      <c r="EC31" s="60"/>
      <c r="ED31" s="60"/>
    </row>
    <row x14ac:dyDescent="0.25" r="32" customHeight="1" ht="18">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51"/>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c r="CA32" s="60"/>
      <c r="CB32" s="60"/>
      <c r="CC32" s="60"/>
      <c r="CD32" s="60"/>
      <c r="CE32" s="60"/>
      <c r="CF32" s="60"/>
      <c r="CG32" s="60"/>
      <c r="CH32" s="60"/>
      <c r="CI32" s="60"/>
      <c r="CJ32" s="60"/>
      <c r="CK32" s="60"/>
      <c r="CL32" s="60"/>
      <c r="CM32" s="60"/>
      <c r="CN32" s="60"/>
      <c r="CO32" s="60"/>
      <c r="CP32" s="60"/>
      <c r="CQ32" s="60"/>
      <c r="CR32" s="60"/>
      <c r="CS32" s="60"/>
      <c r="CT32" s="60"/>
      <c r="CU32" s="60"/>
      <c r="CV32" s="60"/>
      <c r="CW32" s="60"/>
      <c r="CX32" s="60"/>
      <c r="CY32" s="60"/>
      <c r="CZ32" s="60"/>
      <c r="DA32" s="60"/>
      <c r="DB32" s="60"/>
      <c r="DC32" s="60"/>
      <c r="DD32" s="60"/>
      <c r="DE32" s="60"/>
      <c r="DF32" s="60"/>
      <c r="DG32" s="60"/>
      <c r="DH32" s="60"/>
      <c r="DI32" s="60"/>
      <c r="DJ32" s="60"/>
      <c r="DK32" s="60"/>
      <c r="DL32" s="60"/>
      <c r="DM32" s="60"/>
      <c r="DN32" s="60"/>
      <c r="DO32" s="60"/>
      <c r="DP32" s="60"/>
      <c r="DQ32" s="60"/>
      <c r="DR32" s="60"/>
      <c r="DS32" s="60"/>
      <c r="DT32" s="60"/>
      <c r="DU32" s="60"/>
      <c r="DV32" s="60"/>
      <c r="DW32" s="60"/>
      <c r="DX32" s="60"/>
      <c r="DY32" s="60"/>
      <c r="DZ32" s="60"/>
      <c r="EA32" s="60"/>
      <c r="EB32" s="60"/>
      <c r="EC32" s="60"/>
      <c r="ED32" s="60"/>
    </row>
    <row x14ac:dyDescent="0.25" r="33" customHeight="1" ht="18">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51"/>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0"/>
      <c r="BS33" s="60"/>
      <c r="BT33" s="60"/>
      <c r="BU33" s="60"/>
      <c r="BV33" s="60"/>
      <c r="BW33" s="60"/>
      <c r="BX33" s="60"/>
      <c r="BY33" s="60"/>
      <c r="BZ33" s="60"/>
      <c r="CA33" s="60"/>
      <c r="CB33" s="60"/>
      <c r="CC33" s="60"/>
      <c r="CD33" s="60"/>
      <c r="CE33" s="60"/>
      <c r="CF33" s="60"/>
      <c r="CG33" s="60"/>
      <c r="CH33" s="60"/>
      <c r="CI33" s="60"/>
      <c r="CJ33" s="60"/>
      <c r="CK33" s="60"/>
      <c r="CL33" s="60"/>
      <c r="CM33" s="60"/>
      <c r="CN33" s="60"/>
      <c r="CO33" s="60"/>
      <c r="CP33" s="60"/>
      <c r="CQ33" s="60"/>
      <c r="CR33" s="60"/>
      <c r="CS33" s="60"/>
      <c r="CT33" s="60"/>
      <c r="CU33" s="60"/>
      <c r="CV33" s="60"/>
      <c r="CW33" s="60"/>
      <c r="CX33" s="60"/>
      <c r="CY33" s="60"/>
      <c r="CZ33" s="60"/>
      <c r="DA33" s="60"/>
      <c r="DB33" s="60"/>
      <c r="DC33" s="60"/>
      <c r="DD33" s="60"/>
      <c r="DE33" s="60"/>
      <c r="DF33" s="60"/>
      <c r="DG33" s="60"/>
      <c r="DH33" s="60"/>
      <c r="DI33" s="60"/>
      <c r="DJ33" s="60"/>
      <c r="DK33" s="60"/>
      <c r="DL33" s="60"/>
      <c r="DM33" s="60"/>
      <c r="DN33" s="60"/>
      <c r="DO33" s="60"/>
      <c r="DP33" s="60"/>
      <c r="DQ33" s="60"/>
      <c r="DR33" s="60"/>
      <c r="DS33" s="60"/>
      <c r="DT33" s="60"/>
      <c r="DU33" s="60"/>
      <c r="DV33" s="60"/>
      <c r="DW33" s="60"/>
      <c r="DX33" s="60"/>
      <c r="DY33" s="60"/>
      <c r="DZ33" s="60"/>
      <c r="EA33" s="60"/>
      <c r="EB33" s="60"/>
      <c r="EC33" s="60"/>
      <c r="ED33" s="60"/>
    </row>
    <row x14ac:dyDescent="0.25" r="34" customHeight="1" ht="18">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51"/>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0"/>
      <c r="BZ34" s="60"/>
      <c r="CA34" s="60"/>
      <c r="CB34" s="60"/>
      <c r="CC34" s="60"/>
      <c r="CD34" s="60"/>
      <c r="CE34" s="60"/>
      <c r="CF34" s="60"/>
      <c r="CG34" s="60"/>
      <c r="CH34" s="60"/>
      <c r="CI34" s="60"/>
      <c r="CJ34" s="60"/>
      <c r="CK34" s="60"/>
      <c r="CL34" s="60"/>
      <c r="CM34" s="60"/>
      <c r="CN34" s="60"/>
      <c r="CO34" s="60"/>
      <c r="CP34" s="60"/>
      <c r="CQ34" s="60"/>
      <c r="CR34" s="60"/>
      <c r="CS34" s="60"/>
      <c r="CT34" s="60"/>
      <c r="CU34" s="60"/>
      <c r="CV34" s="60"/>
      <c r="CW34" s="60"/>
      <c r="CX34" s="60"/>
      <c r="CY34" s="60"/>
      <c r="CZ34" s="60"/>
      <c r="DA34" s="60"/>
      <c r="DB34" s="60"/>
      <c r="DC34" s="60"/>
      <c r="DD34" s="60"/>
      <c r="DE34" s="60"/>
      <c r="DF34" s="60"/>
      <c r="DG34" s="60"/>
      <c r="DH34" s="60"/>
      <c r="DI34" s="60"/>
      <c r="DJ34" s="60"/>
      <c r="DK34" s="60"/>
      <c r="DL34" s="60"/>
      <c r="DM34" s="60"/>
      <c r="DN34" s="60"/>
      <c r="DO34" s="60"/>
      <c r="DP34" s="60"/>
      <c r="DQ34" s="60"/>
      <c r="DR34" s="60"/>
      <c r="DS34" s="60"/>
      <c r="DT34" s="60"/>
      <c r="DU34" s="60"/>
      <c r="DV34" s="60"/>
      <c r="DW34" s="60"/>
      <c r="DX34" s="60"/>
      <c r="DY34" s="60"/>
      <c r="DZ34" s="60"/>
      <c r="EA34" s="60"/>
      <c r="EB34" s="60"/>
      <c r="EC34" s="60"/>
      <c r="ED34" s="60"/>
    </row>
    <row x14ac:dyDescent="0.25" r="35" customHeight="1" ht="18">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51"/>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0"/>
      <c r="BZ35" s="60"/>
      <c r="CA35" s="60"/>
      <c r="CB35" s="60"/>
      <c r="CC35" s="60"/>
      <c r="CD35" s="60"/>
      <c r="CE35" s="60"/>
      <c r="CF35" s="60"/>
      <c r="CG35" s="60"/>
      <c r="CH35" s="60"/>
      <c r="CI35" s="60"/>
      <c r="CJ35" s="60"/>
      <c r="CK35" s="60"/>
      <c r="CL35" s="60"/>
      <c r="CM35" s="60"/>
      <c r="CN35" s="60"/>
      <c r="CO35" s="60"/>
      <c r="CP35" s="60"/>
      <c r="CQ35" s="60"/>
      <c r="CR35" s="60"/>
      <c r="CS35" s="60"/>
      <c r="CT35" s="60"/>
      <c r="CU35" s="60"/>
      <c r="CV35" s="60"/>
      <c r="CW35" s="60"/>
      <c r="CX35" s="60"/>
      <c r="CY35" s="60"/>
      <c r="CZ35" s="60"/>
      <c r="DA35" s="60"/>
      <c r="DB35" s="60"/>
      <c r="DC35" s="60"/>
      <c r="DD35" s="60"/>
      <c r="DE35" s="60"/>
      <c r="DF35" s="60"/>
      <c r="DG35" s="60"/>
      <c r="DH35" s="60"/>
      <c r="DI35" s="60"/>
      <c r="DJ35" s="60"/>
      <c r="DK35" s="60"/>
      <c r="DL35" s="60"/>
      <c r="DM35" s="60"/>
      <c r="DN35" s="60"/>
      <c r="DO35" s="60"/>
      <c r="DP35" s="60"/>
      <c r="DQ35" s="60"/>
      <c r="DR35" s="60"/>
      <c r="DS35" s="60"/>
      <c r="DT35" s="60"/>
      <c r="DU35" s="60"/>
      <c r="DV35" s="60"/>
      <c r="DW35" s="60"/>
      <c r="DX35" s="60"/>
      <c r="DY35" s="60"/>
      <c r="DZ35" s="60"/>
      <c r="EA35" s="60"/>
      <c r="EB35" s="60"/>
      <c r="EC35" s="60"/>
      <c r="ED35" s="60"/>
    </row>
    <row x14ac:dyDescent="0.25" r="36" customHeight="1" ht="18">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51"/>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0"/>
      <c r="BS36" s="60"/>
      <c r="BT36" s="60"/>
      <c r="BU36" s="60"/>
      <c r="BV36" s="60"/>
      <c r="BW36" s="60"/>
      <c r="BX36" s="60"/>
      <c r="BY36" s="60"/>
      <c r="BZ36" s="60"/>
      <c r="CA36" s="60"/>
      <c r="CB36" s="60"/>
      <c r="CC36" s="60"/>
      <c r="CD36" s="60"/>
      <c r="CE36" s="60"/>
      <c r="CF36" s="60"/>
      <c r="CG36" s="60"/>
      <c r="CH36" s="60"/>
      <c r="CI36" s="60"/>
      <c r="CJ36" s="60"/>
      <c r="CK36" s="60"/>
      <c r="CL36" s="60"/>
      <c r="CM36" s="60"/>
      <c r="CN36" s="60"/>
      <c r="CO36" s="60"/>
      <c r="CP36" s="60"/>
      <c r="CQ36" s="60"/>
      <c r="CR36" s="60"/>
      <c r="CS36" s="60"/>
      <c r="CT36" s="60"/>
      <c r="CU36" s="60"/>
      <c r="CV36" s="60"/>
      <c r="CW36" s="60"/>
      <c r="CX36" s="60"/>
      <c r="CY36" s="60"/>
      <c r="CZ36" s="60"/>
      <c r="DA36" s="60"/>
      <c r="DB36" s="60"/>
      <c r="DC36" s="60"/>
      <c r="DD36" s="60"/>
      <c r="DE36" s="60"/>
      <c r="DF36" s="60"/>
      <c r="DG36" s="60"/>
      <c r="DH36" s="60"/>
      <c r="DI36" s="60"/>
      <c r="DJ36" s="60"/>
      <c r="DK36" s="60"/>
      <c r="DL36" s="60"/>
      <c r="DM36" s="60"/>
      <c r="DN36" s="60"/>
      <c r="DO36" s="60"/>
      <c r="DP36" s="60"/>
      <c r="DQ36" s="60"/>
      <c r="DR36" s="60"/>
      <c r="DS36" s="60"/>
      <c r="DT36" s="60"/>
      <c r="DU36" s="60"/>
      <c r="DV36" s="60"/>
      <c r="DW36" s="60"/>
      <c r="DX36" s="60"/>
      <c r="DY36" s="60"/>
      <c r="DZ36" s="60"/>
      <c r="EA36" s="60"/>
      <c r="EB36" s="60"/>
      <c r="EC36" s="60"/>
      <c r="ED36" s="60"/>
    </row>
    <row x14ac:dyDescent="0.25" r="37" customHeight="1" ht="18">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51"/>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0"/>
      <c r="BS37" s="60"/>
      <c r="BT37" s="60"/>
      <c r="BU37" s="60"/>
      <c r="BV37" s="60"/>
      <c r="BW37" s="60"/>
      <c r="BX37" s="60"/>
      <c r="BY37" s="60"/>
      <c r="BZ37" s="60"/>
      <c r="CA37" s="60"/>
      <c r="CB37" s="60"/>
      <c r="CC37" s="60"/>
      <c r="CD37" s="60"/>
      <c r="CE37" s="60"/>
      <c r="CF37" s="60"/>
      <c r="CG37" s="60"/>
      <c r="CH37" s="60"/>
      <c r="CI37" s="60"/>
      <c r="CJ37" s="60"/>
      <c r="CK37" s="60"/>
      <c r="CL37" s="60"/>
      <c r="CM37" s="60"/>
      <c r="CN37" s="60"/>
      <c r="CO37" s="60"/>
      <c r="CP37" s="60"/>
      <c r="CQ37" s="60"/>
      <c r="CR37" s="60"/>
      <c r="CS37" s="60"/>
      <c r="CT37" s="60"/>
      <c r="CU37" s="60"/>
      <c r="CV37" s="60"/>
      <c r="CW37" s="60"/>
      <c r="CX37" s="60"/>
      <c r="CY37" s="60"/>
      <c r="CZ37" s="60"/>
      <c r="DA37" s="60"/>
      <c r="DB37" s="60"/>
      <c r="DC37" s="60"/>
      <c r="DD37" s="60"/>
      <c r="DE37" s="60"/>
      <c r="DF37" s="60"/>
      <c r="DG37" s="60"/>
      <c r="DH37" s="60"/>
      <c r="DI37" s="60"/>
      <c r="DJ37" s="60"/>
      <c r="DK37" s="60"/>
      <c r="DL37" s="60"/>
      <c r="DM37" s="60"/>
      <c r="DN37" s="60"/>
      <c r="DO37" s="60"/>
      <c r="DP37" s="60"/>
      <c r="DQ37" s="60"/>
      <c r="DR37" s="60"/>
      <c r="DS37" s="60"/>
      <c r="DT37" s="60"/>
      <c r="DU37" s="60"/>
      <c r="DV37" s="60"/>
      <c r="DW37" s="60"/>
      <c r="DX37" s="60"/>
      <c r="DY37" s="60"/>
      <c r="DZ37" s="60"/>
      <c r="EA37" s="60"/>
      <c r="EB37" s="60"/>
      <c r="EC37" s="60"/>
      <c r="ED37" s="60"/>
    </row>
    <row x14ac:dyDescent="0.25" r="38" customHeight="1" ht="1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51"/>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c r="CA38" s="60"/>
      <c r="CB38" s="60"/>
      <c r="CC38" s="60"/>
      <c r="CD38" s="60"/>
      <c r="CE38" s="60"/>
      <c r="CF38" s="60"/>
      <c r="CG38" s="60"/>
      <c r="CH38" s="60"/>
      <c r="CI38" s="60"/>
      <c r="CJ38" s="60"/>
      <c r="CK38" s="60"/>
      <c r="CL38" s="60"/>
      <c r="CM38" s="60"/>
      <c r="CN38" s="60"/>
      <c r="CO38" s="60"/>
      <c r="CP38" s="60"/>
      <c r="CQ38" s="60"/>
      <c r="CR38" s="60"/>
      <c r="CS38" s="60"/>
      <c r="CT38" s="60"/>
      <c r="CU38" s="60"/>
      <c r="CV38" s="60"/>
      <c r="CW38" s="60"/>
      <c r="CX38" s="60"/>
      <c r="CY38" s="60"/>
      <c r="CZ38" s="60"/>
      <c r="DA38" s="60"/>
      <c r="DB38" s="60"/>
      <c r="DC38" s="60"/>
      <c r="DD38" s="60"/>
      <c r="DE38" s="60"/>
      <c r="DF38" s="60"/>
      <c r="DG38" s="60"/>
      <c r="DH38" s="60"/>
      <c r="DI38" s="60"/>
      <c r="DJ38" s="60"/>
      <c r="DK38" s="60"/>
      <c r="DL38" s="60"/>
      <c r="DM38" s="60"/>
      <c r="DN38" s="60"/>
      <c r="DO38" s="60"/>
      <c r="DP38" s="60"/>
      <c r="DQ38" s="60"/>
      <c r="DR38" s="60"/>
      <c r="DS38" s="60"/>
      <c r="DT38" s="60"/>
      <c r="DU38" s="60"/>
      <c r="DV38" s="60"/>
      <c r="DW38" s="60"/>
      <c r="DX38" s="60"/>
      <c r="DY38" s="60"/>
      <c r="DZ38" s="60"/>
      <c r="EA38" s="60"/>
      <c r="EB38" s="60"/>
      <c r="EC38" s="60"/>
      <c r="ED38" s="60"/>
    </row>
    <row x14ac:dyDescent="0.25" r="39" customHeight="1" ht="18">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51"/>
      <c r="AH39" s="60"/>
      <c r="AI39" s="60"/>
      <c r="AJ39" s="60"/>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0"/>
      <c r="BX39" s="60"/>
      <c r="BY39" s="60"/>
      <c r="BZ39" s="60"/>
      <c r="CA39" s="60"/>
      <c r="CB39" s="60"/>
      <c r="CC39" s="60"/>
      <c r="CD39" s="60"/>
      <c r="CE39" s="60"/>
      <c r="CF39" s="60"/>
      <c r="CG39" s="60"/>
      <c r="CH39" s="60"/>
      <c r="CI39" s="60"/>
      <c r="CJ39" s="60"/>
      <c r="CK39" s="60"/>
      <c r="CL39" s="60"/>
      <c r="CM39" s="60"/>
      <c r="CN39" s="60"/>
      <c r="CO39" s="60"/>
      <c r="CP39" s="60"/>
      <c r="CQ39" s="60"/>
      <c r="CR39" s="60"/>
      <c r="CS39" s="60"/>
      <c r="CT39" s="60"/>
      <c r="CU39" s="60"/>
      <c r="CV39" s="60"/>
      <c r="CW39" s="60"/>
      <c r="CX39" s="60"/>
      <c r="CY39" s="60"/>
      <c r="CZ39" s="60"/>
      <c r="DA39" s="60"/>
      <c r="DB39" s="60"/>
      <c r="DC39" s="60"/>
      <c r="DD39" s="60"/>
      <c r="DE39" s="60"/>
      <c r="DF39" s="60"/>
      <c r="DG39" s="60"/>
      <c r="DH39" s="60"/>
      <c r="DI39" s="60"/>
      <c r="DJ39" s="60"/>
      <c r="DK39" s="60"/>
      <c r="DL39" s="60"/>
      <c r="DM39" s="60"/>
      <c r="DN39" s="60"/>
      <c r="DO39" s="60"/>
      <c r="DP39" s="60"/>
      <c r="DQ39" s="60"/>
      <c r="DR39" s="60"/>
      <c r="DS39" s="60"/>
      <c r="DT39" s="60"/>
      <c r="DU39" s="60"/>
      <c r="DV39" s="60"/>
      <c r="DW39" s="60"/>
      <c r="DX39" s="60"/>
      <c r="DY39" s="60"/>
      <c r="DZ39" s="60"/>
      <c r="EA39" s="60"/>
      <c r="EB39" s="60"/>
      <c r="EC39" s="60"/>
      <c r="ED39" s="60"/>
    </row>
    <row x14ac:dyDescent="0.25" r="40" customHeight="1" ht="18">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51"/>
      <c r="AH40" s="60"/>
      <c r="AI40" s="60"/>
      <c r="AJ40" s="60"/>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c r="BK40" s="60"/>
      <c r="BL40" s="60"/>
      <c r="BM40" s="60"/>
      <c r="BN40" s="60"/>
      <c r="BO40" s="60"/>
      <c r="BP40" s="60"/>
      <c r="BQ40" s="60"/>
      <c r="BR40" s="60"/>
      <c r="BS40" s="60"/>
      <c r="BT40" s="60"/>
      <c r="BU40" s="60"/>
      <c r="BV40" s="60"/>
      <c r="BW40" s="60"/>
      <c r="BX40" s="60"/>
      <c r="BY40" s="60"/>
      <c r="BZ40" s="60"/>
      <c r="CA40" s="60"/>
      <c r="CB40" s="60"/>
      <c r="CC40" s="60"/>
      <c r="CD40" s="60"/>
      <c r="CE40" s="60"/>
      <c r="CF40" s="60"/>
      <c r="CG40" s="60"/>
      <c r="CH40" s="60"/>
      <c r="CI40" s="60"/>
      <c r="CJ40" s="60"/>
      <c r="CK40" s="60"/>
      <c r="CL40" s="60"/>
      <c r="CM40" s="60"/>
      <c r="CN40" s="60"/>
      <c r="CO40" s="60"/>
      <c r="CP40" s="60"/>
      <c r="CQ40" s="60"/>
      <c r="CR40" s="60"/>
      <c r="CS40" s="60"/>
      <c r="CT40" s="60"/>
      <c r="CU40" s="60"/>
      <c r="CV40" s="60"/>
      <c r="CW40" s="60"/>
      <c r="CX40" s="60"/>
      <c r="CY40" s="60"/>
      <c r="CZ40" s="60"/>
      <c r="DA40" s="60"/>
      <c r="DB40" s="60"/>
      <c r="DC40" s="60"/>
      <c r="DD40" s="60"/>
      <c r="DE40" s="60"/>
      <c r="DF40" s="60"/>
      <c r="DG40" s="60"/>
      <c r="DH40" s="60"/>
      <c r="DI40" s="60"/>
      <c r="DJ40" s="60"/>
      <c r="DK40" s="60"/>
      <c r="DL40" s="60"/>
      <c r="DM40" s="60"/>
      <c r="DN40" s="60"/>
      <c r="DO40" s="60"/>
      <c r="DP40" s="60"/>
      <c r="DQ40" s="60"/>
      <c r="DR40" s="60"/>
      <c r="DS40" s="60"/>
      <c r="DT40" s="60"/>
      <c r="DU40" s="60"/>
      <c r="DV40" s="60"/>
      <c r="DW40" s="60"/>
      <c r="DX40" s="60"/>
      <c r="DY40" s="60"/>
      <c r="DZ40" s="60"/>
      <c r="EA40" s="60"/>
      <c r="EB40" s="60"/>
      <c r="EC40" s="60"/>
      <c r="ED40" s="60"/>
    </row>
    <row x14ac:dyDescent="0.25" r="41" customHeight="1" ht="18">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51"/>
      <c r="AH41" s="60"/>
      <c r="AI41" s="60"/>
      <c r="AJ41" s="60"/>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c r="BK41" s="60"/>
      <c r="BL41" s="60"/>
      <c r="BM41" s="60"/>
      <c r="BN41" s="60"/>
      <c r="BO41" s="60"/>
      <c r="BP41" s="60"/>
      <c r="BQ41" s="60"/>
      <c r="BR41" s="60"/>
      <c r="BS41" s="60"/>
      <c r="BT41" s="60"/>
      <c r="BU41" s="60"/>
      <c r="BV41" s="60"/>
      <c r="BW41" s="60"/>
      <c r="BX41" s="60"/>
      <c r="BY41" s="60"/>
      <c r="BZ41" s="60"/>
      <c r="CA41" s="60"/>
      <c r="CB41" s="60"/>
      <c r="CC41" s="60"/>
      <c r="CD41" s="60"/>
      <c r="CE41" s="60"/>
      <c r="CF41" s="60"/>
      <c r="CG41" s="60"/>
      <c r="CH41" s="60"/>
      <c r="CI41" s="60"/>
      <c r="CJ41" s="60"/>
      <c r="CK41" s="60"/>
      <c r="CL41" s="60"/>
      <c r="CM41" s="60"/>
      <c r="CN41" s="60"/>
      <c r="CO41" s="60"/>
      <c r="CP41" s="60"/>
      <c r="CQ41" s="60"/>
      <c r="CR41" s="60"/>
      <c r="CS41" s="60"/>
      <c r="CT41" s="60"/>
      <c r="CU41" s="60"/>
      <c r="CV41" s="60"/>
      <c r="CW41" s="60"/>
      <c r="CX41" s="60"/>
      <c r="CY41" s="60"/>
      <c r="CZ41" s="60"/>
      <c r="DA41" s="60"/>
      <c r="DB41" s="60"/>
      <c r="DC41" s="60"/>
      <c r="DD41" s="60"/>
      <c r="DE41" s="60"/>
      <c r="DF41" s="60"/>
      <c r="DG41" s="60"/>
      <c r="DH41" s="60"/>
      <c r="DI41" s="60"/>
      <c r="DJ41" s="60"/>
      <c r="DK41" s="60"/>
      <c r="DL41" s="60"/>
      <c r="DM41" s="60"/>
      <c r="DN41" s="60"/>
      <c r="DO41" s="60"/>
      <c r="DP41" s="60"/>
      <c r="DQ41" s="60"/>
      <c r="DR41" s="60"/>
      <c r="DS41" s="60"/>
      <c r="DT41" s="60"/>
      <c r="DU41" s="60"/>
      <c r="DV41" s="60"/>
      <c r="DW41" s="60"/>
      <c r="DX41" s="60"/>
      <c r="DY41" s="60"/>
      <c r="DZ41" s="60"/>
      <c r="EA41" s="60"/>
      <c r="EB41" s="60"/>
      <c r="EC41" s="60"/>
      <c r="ED41" s="60"/>
    </row>
    <row x14ac:dyDescent="0.25" r="42" customHeight="1" ht="18">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51"/>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0"/>
      <c r="BZ42" s="60"/>
      <c r="CA42" s="60"/>
      <c r="CB42" s="60"/>
      <c r="CC42" s="60"/>
      <c r="CD42" s="60"/>
      <c r="CE42" s="60"/>
      <c r="CF42" s="60"/>
      <c r="CG42" s="60"/>
      <c r="CH42" s="60"/>
      <c r="CI42" s="60"/>
      <c r="CJ42" s="60"/>
      <c r="CK42" s="60"/>
      <c r="CL42" s="60"/>
      <c r="CM42" s="60"/>
      <c r="CN42" s="60"/>
      <c r="CO42" s="60"/>
      <c r="CP42" s="60"/>
      <c r="CQ42" s="60"/>
      <c r="CR42" s="60"/>
      <c r="CS42" s="60"/>
      <c r="CT42" s="60"/>
      <c r="CU42" s="60"/>
      <c r="CV42" s="60"/>
      <c r="CW42" s="60"/>
      <c r="CX42" s="60"/>
      <c r="CY42" s="60"/>
      <c r="CZ42" s="60"/>
      <c r="DA42" s="60"/>
      <c r="DB42" s="60"/>
      <c r="DC42" s="60"/>
      <c r="DD42" s="60"/>
      <c r="DE42" s="60"/>
      <c r="DF42" s="60"/>
      <c r="DG42" s="60"/>
      <c r="DH42" s="60"/>
      <c r="DI42" s="60"/>
      <c r="DJ42" s="60"/>
      <c r="DK42" s="60"/>
      <c r="DL42" s="60"/>
      <c r="DM42" s="60"/>
      <c r="DN42" s="60"/>
      <c r="DO42" s="60"/>
      <c r="DP42" s="60"/>
      <c r="DQ42" s="60"/>
      <c r="DR42" s="60"/>
      <c r="DS42" s="60"/>
      <c r="DT42" s="60"/>
      <c r="DU42" s="60"/>
      <c r="DV42" s="60"/>
      <c r="DW42" s="60"/>
      <c r="DX42" s="60"/>
      <c r="DY42" s="60"/>
      <c r="DZ42" s="60"/>
      <c r="EA42" s="60"/>
      <c r="EB42" s="60"/>
      <c r="EC42" s="60"/>
      <c r="ED42" s="60"/>
    </row>
    <row x14ac:dyDescent="0.25" r="43" customHeight="1" ht="18">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60"/>
      <c r="AG43" s="51"/>
      <c r="AH43" s="60"/>
      <c r="AI43" s="60"/>
      <c r="AJ43" s="60"/>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c r="BK43" s="60"/>
      <c r="BL43" s="60"/>
      <c r="BM43" s="60"/>
      <c r="BN43" s="60"/>
      <c r="BO43" s="60"/>
      <c r="BP43" s="60"/>
      <c r="BQ43" s="60"/>
      <c r="BR43" s="60"/>
      <c r="BS43" s="60"/>
      <c r="BT43" s="60"/>
      <c r="BU43" s="60"/>
      <c r="BV43" s="60"/>
      <c r="BW43" s="60"/>
      <c r="BX43" s="60"/>
      <c r="BY43" s="60"/>
      <c r="BZ43" s="60"/>
      <c r="CA43" s="60"/>
      <c r="CB43" s="60"/>
      <c r="CC43" s="60"/>
      <c r="CD43" s="60"/>
      <c r="CE43" s="60"/>
      <c r="CF43" s="60"/>
      <c r="CG43" s="60"/>
      <c r="CH43" s="60"/>
      <c r="CI43" s="60"/>
      <c r="CJ43" s="60"/>
      <c r="CK43" s="60"/>
      <c r="CL43" s="60"/>
      <c r="CM43" s="60"/>
      <c r="CN43" s="60"/>
      <c r="CO43" s="60"/>
      <c r="CP43" s="60"/>
      <c r="CQ43" s="60"/>
      <c r="CR43" s="60"/>
      <c r="CS43" s="60"/>
      <c r="CT43" s="60"/>
      <c r="CU43" s="60"/>
      <c r="CV43" s="60"/>
      <c r="CW43" s="60"/>
      <c r="CX43" s="60"/>
      <c r="CY43" s="60"/>
      <c r="CZ43" s="60"/>
      <c r="DA43" s="60"/>
      <c r="DB43" s="60"/>
      <c r="DC43" s="60"/>
      <c r="DD43" s="60"/>
      <c r="DE43" s="60"/>
      <c r="DF43" s="60"/>
      <c r="DG43" s="60"/>
      <c r="DH43" s="60"/>
      <c r="DI43" s="60"/>
      <c r="DJ43" s="60"/>
      <c r="DK43" s="60"/>
      <c r="DL43" s="60"/>
      <c r="DM43" s="60"/>
      <c r="DN43" s="60"/>
      <c r="DO43" s="60"/>
      <c r="DP43" s="60"/>
      <c r="DQ43" s="60"/>
      <c r="DR43" s="60"/>
      <c r="DS43" s="60"/>
      <c r="DT43" s="60"/>
      <c r="DU43" s="60"/>
      <c r="DV43" s="60"/>
      <c r="DW43" s="60"/>
      <c r="DX43" s="60"/>
      <c r="DY43" s="60"/>
      <c r="DZ43" s="60"/>
      <c r="EA43" s="60"/>
      <c r="EB43" s="60"/>
      <c r="EC43" s="60"/>
      <c r="ED43" s="60"/>
    </row>
    <row x14ac:dyDescent="0.25" r="44" customHeight="1" ht="18">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51"/>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0"/>
      <c r="BZ44" s="60"/>
      <c r="CA44" s="60"/>
      <c r="CB44" s="60"/>
      <c r="CC44" s="60"/>
      <c r="CD44" s="60"/>
      <c r="CE44" s="60"/>
      <c r="CF44" s="60"/>
      <c r="CG44" s="60"/>
      <c r="CH44" s="60"/>
      <c r="CI44" s="60"/>
      <c r="CJ44" s="60"/>
      <c r="CK44" s="60"/>
      <c r="CL44" s="60"/>
      <c r="CM44" s="60"/>
      <c r="CN44" s="60"/>
      <c r="CO44" s="60"/>
      <c r="CP44" s="60"/>
      <c r="CQ44" s="60"/>
      <c r="CR44" s="60"/>
      <c r="CS44" s="60"/>
      <c r="CT44" s="60"/>
      <c r="CU44" s="60"/>
      <c r="CV44" s="60"/>
      <c r="CW44" s="60"/>
      <c r="CX44" s="60"/>
      <c r="CY44" s="60"/>
      <c r="CZ44" s="60"/>
      <c r="DA44" s="60"/>
      <c r="DB44" s="60"/>
      <c r="DC44" s="60"/>
      <c r="DD44" s="60"/>
      <c r="DE44" s="60"/>
      <c r="DF44" s="60"/>
      <c r="DG44" s="60"/>
      <c r="DH44" s="60"/>
      <c r="DI44" s="60"/>
      <c r="DJ44" s="60"/>
      <c r="DK44" s="60"/>
      <c r="DL44" s="60"/>
      <c r="DM44" s="60"/>
      <c r="DN44" s="60"/>
      <c r="DO44" s="60"/>
      <c r="DP44" s="60"/>
      <c r="DQ44" s="60"/>
      <c r="DR44" s="60"/>
      <c r="DS44" s="60"/>
      <c r="DT44" s="60"/>
      <c r="DU44" s="60"/>
      <c r="DV44" s="60"/>
      <c r="DW44" s="60"/>
      <c r="DX44" s="60"/>
      <c r="DY44" s="60"/>
      <c r="DZ44" s="60"/>
      <c r="EA44" s="60"/>
      <c r="EB44" s="60"/>
      <c r="EC44" s="60"/>
      <c r="ED44" s="60"/>
    </row>
    <row x14ac:dyDescent="0.25" r="45" customHeight="1" ht="18">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51"/>
      <c r="AH45" s="60"/>
      <c r="AI45" s="60"/>
      <c r="AJ45" s="60"/>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c r="BK45" s="60"/>
      <c r="BL45" s="60"/>
      <c r="BM45" s="60"/>
      <c r="BN45" s="60"/>
      <c r="BO45" s="60"/>
      <c r="BP45" s="60"/>
      <c r="BQ45" s="60"/>
      <c r="BR45" s="60"/>
      <c r="BS45" s="60"/>
      <c r="BT45" s="60"/>
      <c r="BU45" s="60"/>
      <c r="BV45" s="60"/>
      <c r="BW45" s="60"/>
      <c r="BX45" s="60"/>
      <c r="BY45" s="60"/>
      <c r="BZ45" s="60"/>
      <c r="CA45" s="60"/>
      <c r="CB45" s="60"/>
      <c r="CC45" s="60"/>
      <c r="CD45" s="60"/>
      <c r="CE45" s="60"/>
      <c r="CF45" s="60"/>
      <c r="CG45" s="60"/>
      <c r="CH45" s="60"/>
      <c r="CI45" s="60"/>
      <c r="CJ45" s="60"/>
      <c r="CK45" s="60"/>
      <c r="CL45" s="60"/>
      <c r="CM45" s="60"/>
      <c r="CN45" s="60"/>
      <c r="CO45" s="60"/>
      <c r="CP45" s="60"/>
      <c r="CQ45" s="60"/>
      <c r="CR45" s="60"/>
      <c r="CS45" s="60"/>
      <c r="CT45" s="60"/>
      <c r="CU45" s="60"/>
      <c r="CV45" s="60"/>
      <c r="CW45" s="60"/>
      <c r="CX45" s="60"/>
      <c r="CY45" s="60"/>
      <c r="CZ45" s="60"/>
      <c r="DA45" s="60"/>
      <c r="DB45" s="60"/>
      <c r="DC45" s="60"/>
      <c r="DD45" s="60"/>
      <c r="DE45" s="60"/>
      <c r="DF45" s="60"/>
      <c r="DG45" s="60"/>
      <c r="DH45" s="60"/>
      <c r="DI45" s="60"/>
      <c r="DJ45" s="60"/>
      <c r="DK45" s="60"/>
      <c r="DL45" s="60"/>
      <c r="DM45" s="60"/>
      <c r="DN45" s="60"/>
      <c r="DO45" s="60"/>
      <c r="DP45" s="60"/>
      <c r="DQ45" s="60"/>
      <c r="DR45" s="60"/>
      <c r="DS45" s="60"/>
      <c r="DT45" s="60"/>
      <c r="DU45" s="60"/>
      <c r="DV45" s="60"/>
      <c r="DW45" s="60"/>
      <c r="DX45" s="60"/>
      <c r="DY45" s="60"/>
      <c r="DZ45" s="60"/>
      <c r="EA45" s="60"/>
      <c r="EB45" s="60"/>
      <c r="EC45" s="60"/>
      <c r="ED45" s="60"/>
    </row>
    <row x14ac:dyDescent="0.25" r="46" customHeight="1" ht="18">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51"/>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0"/>
      <c r="BZ46" s="60"/>
      <c r="CA46" s="60"/>
      <c r="CB46" s="60"/>
      <c r="CC46" s="60"/>
      <c r="CD46" s="60"/>
      <c r="CE46" s="60"/>
      <c r="CF46" s="60"/>
      <c r="CG46" s="60"/>
      <c r="CH46" s="60"/>
      <c r="CI46" s="60"/>
      <c r="CJ46" s="60"/>
      <c r="CK46" s="60"/>
      <c r="CL46" s="60"/>
      <c r="CM46" s="60"/>
      <c r="CN46" s="60"/>
      <c r="CO46" s="60"/>
      <c r="CP46" s="60"/>
      <c r="CQ46" s="60"/>
      <c r="CR46" s="60"/>
      <c r="CS46" s="60"/>
      <c r="CT46" s="60"/>
      <c r="CU46" s="60"/>
      <c r="CV46" s="60"/>
      <c r="CW46" s="60"/>
      <c r="CX46" s="60"/>
      <c r="CY46" s="60"/>
      <c r="CZ46" s="60"/>
      <c r="DA46" s="60"/>
      <c r="DB46" s="60"/>
      <c r="DC46" s="60"/>
      <c r="DD46" s="60"/>
      <c r="DE46" s="60"/>
      <c r="DF46" s="60"/>
      <c r="DG46" s="60"/>
      <c r="DH46" s="60"/>
      <c r="DI46" s="60"/>
      <c r="DJ46" s="60"/>
      <c r="DK46" s="60"/>
      <c r="DL46" s="60"/>
      <c r="DM46" s="60"/>
      <c r="DN46" s="60"/>
      <c r="DO46" s="60"/>
      <c r="DP46" s="60"/>
      <c r="DQ46" s="60"/>
      <c r="DR46" s="60"/>
      <c r="DS46" s="60"/>
      <c r="DT46" s="60"/>
      <c r="DU46" s="60"/>
      <c r="DV46" s="60"/>
      <c r="DW46" s="60"/>
      <c r="DX46" s="60"/>
      <c r="DY46" s="60"/>
      <c r="DZ46" s="60"/>
      <c r="EA46" s="60"/>
      <c r="EB46" s="60"/>
      <c r="EC46" s="60"/>
      <c r="ED46" s="60"/>
    </row>
    <row x14ac:dyDescent="0.25" r="47" customHeight="1" ht="18">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51"/>
      <c r="AH47" s="60"/>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0"/>
      <c r="BX47" s="60"/>
      <c r="BY47" s="60"/>
      <c r="BZ47" s="60"/>
      <c r="CA47" s="60"/>
      <c r="CB47" s="60"/>
      <c r="CC47" s="60"/>
      <c r="CD47" s="60"/>
      <c r="CE47" s="60"/>
      <c r="CF47" s="60"/>
      <c r="CG47" s="60"/>
      <c r="CH47" s="60"/>
      <c r="CI47" s="60"/>
      <c r="CJ47" s="60"/>
      <c r="CK47" s="60"/>
      <c r="CL47" s="60"/>
      <c r="CM47" s="60"/>
      <c r="CN47" s="60"/>
      <c r="CO47" s="60"/>
      <c r="CP47" s="60"/>
      <c r="CQ47" s="60"/>
      <c r="CR47" s="60"/>
      <c r="CS47" s="60"/>
      <c r="CT47" s="60"/>
      <c r="CU47" s="60"/>
      <c r="CV47" s="60"/>
      <c r="CW47" s="60"/>
      <c r="CX47" s="60"/>
      <c r="CY47" s="60"/>
      <c r="CZ47" s="60"/>
      <c r="DA47" s="60"/>
      <c r="DB47" s="60"/>
      <c r="DC47" s="60"/>
      <c r="DD47" s="60"/>
      <c r="DE47" s="60"/>
      <c r="DF47" s="60"/>
      <c r="DG47" s="60"/>
      <c r="DH47" s="60"/>
      <c r="DI47" s="60"/>
      <c r="DJ47" s="60"/>
      <c r="DK47" s="60"/>
      <c r="DL47" s="60"/>
      <c r="DM47" s="60"/>
      <c r="DN47" s="60"/>
      <c r="DO47" s="60"/>
      <c r="DP47" s="60"/>
      <c r="DQ47" s="60"/>
      <c r="DR47" s="60"/>
      <c r="DS47" s="60"/>
      <c r="DT47" s="60"/>
      <c r="DU47" s="60"/>
      <c r="DV47" s="60"/>
      <c r="DW47" s="60"/>
      <c r="DX47" s="60"/>
      <c r="DY47" s="60"/>
      <c r="DZ47" s="60"/>
      <c r="EA47" s="60"/>
      <c r="EB47" s="60"/>
      <c r="EC47" s="60"/>
      <c r="ED47" s="60"/>
    </row>
    <row x14ac:dyDescent="0.25" r="48" customHeight="1" ht="1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51"/>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c r="BW48" s="60"/>
      <c r="BX48" s="60"/>
      <c r="BY48" s="60"/>
      <c r="BZ48" s="60"/>
      <c r="CA48" s="60"/>
      <c r="CB48" s="60"/>
      <c r="CC48" s="60"/>
      <c r="CD48" s="60"/>
      <c r="CE48" s="60"/>
      <c r="CF48" s="60"/>
      <c r="CG48" s="60"/>
      <c r="CH48" s="60"/>
      <c r="CI48" s="60"/>
      <c r="CJ48" s="60"/>
      <c r="CK48" s="60"/>
      <c r="CL48" s="60"/>
      <c r="CM48" s="60"/>
      <c r="CN48" s="60"/>
      <c r="CO48" s="60"/>
      <c r="CP48" s="60"/>
      <c r="CQ48" s="60"/>
      <c r="CR48" s="60"/>
      <c r="CS48" s="60"/>
      <c r="CT48" s="60"/>
      <c r="CU48" s="60"/>
      <c r="CV48" s="60"/>
      <c r="CW48" s="60"/>
      <c r="CX48" s="60"/>
      <c r="CY48" s="60"/>
      <c r="CZ48" s="60"/>
      <c r="DA48" s="60"/>
      <c r="DB48" s="60"/>
      <c r="DC48" s="60"/>
      <c r="DD48" s="60"/>
      <c r="DE48" s="60"/>
      <c r="DF48" s="60"/>
      <c r="DG48" s="60"/>
      <c r="DH48" s="60"/>
      <c r="DI48" s="60"/>
      <c r="DJ48" s="60"/>
      <c r="DK48" s="60"/>
      <c r="DL48" s="60"/>
      <c r="DM48" s="60"/>
      <c r="DN48" s="60"/>
      <c r="DO48" s="60"/>
      <c r="DP48" s="60"/>
      <c r="DQ48" s="60"/>
      <c r="DR48" s="60"/>
      <c r="DS48" s="60"/>
      <c r="DT48" s="60"/>
      <c r="DU48" s="60"/>
      <c r="DV48" s="60"/>
      <c r="DW48" s="60"/>
      <c r="DX48" s="60"/>
      <c r="DY48" s="60"/>
      <c r="DZ48" s="60"/>
      <c r="EA48" s="60"/>
      <c r="EB48" s="60"/>
      <c r="EC48" s="60"/>
      <c r="ED48" s="60"/>
    </row>
    <row x14ac:dyDescent="0.25" r="49" customHeight="1" ht="18">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51"/>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X49" s="60"/>
      <c r="BY49" s="60"/>
      <c r="BZ49" s="60"/>
      <c r="CA49" s="60"/>
      <c r="CB49" s="60"/>
      <c r="CC49" s="60"/>
      <c r="CD49" s="60"/>
      <c r="CE49" s="60"/>
      <c r="CF49" s="60"/>
      <c r="CG49" s="60"/>
      <c r="CH49" s="60"/>
      <c r="CI49" s="60"/>
      <c r="CJ49" s="60"/>
      <c r="CK49" s="60"/>
      <c r="CL49" s="60"/>
      <c r="CM49" s="60"/>
      <c r="CN49" s="60"/>
      <c r="CO49" s="60"/>
      <c r="CP49" s="60"/>
      <c r="CQ49" s="60"/>
      <c r="CR49" s="60"/>
      <c r="CS49" s="60"/>
      <c r="CT49" s="60"/>
      <c r="CU49" s="60"/>
      <c r="CV49" s="60"/>
      <c r="CW49" s="60"/>
      <c r="CX49" s="60"/>
      <c r="CY49" s="60"/>
      <c r="CZ49" s="60"/>
      <c r="DA49" s="60"/>
      <c r="DB49" s="60"/>
      <c r="DC49" s="60"/>
      <c r="DD49" s="60"/>
      <c r="DE49" s="60"/>
      <c r="DF49" s="60"/>
      <c r="DG49" s="60"/>
      <c r="DH49" s="60"/>
      <c r="DI49" s="60"/>
      <c r="DJ49" s="60"/>
      <c r="DK49" s="60"/>
      <c r="DL49" s="60"/>
      <c r="DM49" s="60"/>
      <c r="DN49" s="60"/>
      <c r="DO49" s="60"/>
      <c r="DP49" s="60"/>
      <c r="DQ49" s="60"/>
      <c r="DR49" s="60"/>
      <c r="DS49" s="60"/>
      <c r="DT49" s="60"/>
      <c r="DU49" s="60"/>
      <c r="DV49" s="60"/>
      <c r="DW49" s="60"/>
      <c r="DX49" s="60"/>
      <c r="DY49" s="60"/>
      <c r="DZ49" s="60"/>
      <c r="EA49" s="60"/>
      <c r="EB49" s="60"/>
      <c r="EC49" s="60"/>
      <c r="ED49" s="60"/>
    </row>
    <row x14ac:dyDescent="0.25" r="50" customHeight="1" ht="18">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51"/>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0"/>
      <c r="BZ50" s="60"/>
      <c r="CA50" s="60"/>
      <c r="CB50" s="60"/>
      <c r="CC50" s="60"/>
      <c r="CD50" s="60"/>
      <c r="CE50" s="60"/>
      <c r="CF50" s="60"/>
      <c r="CG50" s="60"/>
      <c r="CH50" s="60"/>
      <c r="CI50" s="60"/>
      <c r="CJ50" s="60"/>
      <c r="CK50" s="60"/>
      <c r="CL50" s="60"/>
      <c r="CM50" s="60"/>
      <c r="CN50" s="60"/>
      <c r="CO50" s="60"/>
      <c r="CP50" s="60"/>
      <c r="CQ50" s="60"/>
      <c r="CR50" s="60"/>
      <c r="CS50" s="60"/>
      <c r="CT50" s="60"/>
      <c r="CU50" s="60"/>
      <c r="CV50" s="60"/>
      <c r="CW50" s="60"/>
      <c r="CX50" s="60"/>
      <c r="CY50" s="60"/>
      <c r="CZ50" s="60"/>
      <c r="DA50" s="60"/>
      <c r="DB50" s="60"/>
      <c r="DC50" s="60"/>
      <c r="DD50" s="60"/>
      <c r="DE50" s="60"/>
      <c r="DF50" s="60"/>
      <c r="DG50" s="60"/>
      <c r="DH50" s="60"/>
      <c r="DI50" s="60"/>
      <c r="DJ50" s="60"/>
      <c r="DK50" s="60"/>
      <c r="DL50" s="60"/>
      <c r="DM50" s="60"/>
      <c r="DN50" s="60"/>
      <c r="DO50" s="60"/>
      <c r="DP50" s="60"/>
      <c r="DQ50" s="60"/>
      <c r="DR50" s="60"/>
      <c r="DS50" s="60"/>
      <c r="DT50" s="60"/>
      <c r="DU50" s="60"/>
      <c r="DV50" s="60"/>
      <c r="DW50" s="60"/>
      <c r="DX50" s="60"/>
      <c r="DY50" s="60"/>
      <c r="DZ50" s="60"/>
      <c r="EA50" s="60"/>
      <c r="EB50" s="60"/>
      <c r="EC50" s="60"/>
      <c r="ED50" s="60"/>
    </row>
    <row x14ac:dyDescent="0.25" r="51" customHeight="1" ht="18">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51"/>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0"/>
      <c r="BX51" s="60"/>
      <c r="BY51" s="60"/>
      <c r="BZ51" s="60"/>
      <c r="CA51" s="60"/>
      <c r="CB51" s="60"/>
      <c r="CC51" s="60"/>
      <c r="CD51" s="60"/>
      <c r="CE51" s="60"/>
      <c r="CF51" s="60"/>
      <c r="CG51" s="60"/>
      <c r="CH51" s="60"/>
      <c r="CI51" s="60"/>
      <c r="CJ51" s="60"/>
      <c r="CK51" s="60"/>
      <c r="CL51" s="60"/>
      <c r="CM51" s="60"/>
      <c r="CN51" s="60"/>
      <c r="CO51" s="60"/>
      <c r="CP51" s="60"/>
      <c r="CQ51" s="60"/>
      <c r="CR51" s="60"/>
      <c r="CS51" s="60"/>
      <c r="CT51" s="60"/>
      <c r="CU51" s="60"/>
      <c r="CV51" s="60"/>
      <c r="CW51" s="60"/>
      <c r="CX51" s="60"/>
      <c r="CY51" s="60"/>
      <c r="CZ51" s="60"/>
      <c r="DA51" s="60"/>
      <c r="DB51" s="60"/>
      <c r="DC51" s="60"/>
      <c r="DD51" s="60"/>
      <c r="DE51" s="60"/>
      <c r="DF51" s="60"/>
      <c r="DG51" s="60"/>
      <c r="DH51" s="60"/>
      <c r="DI51" s="60"/>
      <c r="DJ51" s="60"/>
      <c r="DK51" s="60"/>
      <c r="DL51" s="60"/>
      <c r="DM51" s="60"/>
      <c r="DN51" s="60"/>
      <c r="DO51" s="60"/>
      <c r="DP51" s="60"/>
      <c r="DQ51" s="60"/>
      <c r="DR51" s="60"/>
      <c r="DS51" s="60"/>
      <c r="DT51" s="60"/>
      <c r="DU51" s="60"/>
      <c r="DV51" s="60"/>
      <c r="DW51" s="60"/>
      <c r="DX51" s="60"/>
      <c r="DY51" s="60"/>
      <c r="DZ51" s="60"/>
      <c r="EA51" s="60"/>
      <c r="EB51" s="60"/>
      <c r="EC51" s="60"/>
      <c r="ED51" s="60"/>
    </row>
    <row x14ac:dyDescent="0.25" r="52" customHeight="1" ht="18">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51"/>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X52" s="60"/>
      <c r="BY52" s="60"/>
      <c r="BZ52" s="60"/>
      <c r="CA52" s="60"/>
      <c r="CB52" s="60"/>
      <c r="CC52" s="60"/>
      <c r="CD52" s="60"/>
      <c r="CE52" s="60"/>
      <c r="CF52" s="60"/>
      <c r="CG52" s="60"/>
      <c r="CH52" s="60"/>
      <c r="CI52" s="60"/>
      <c r="CJ52" s="60"/>
      <c r="CK52" s="60"/>
      <c r="CL52" s="60"/>
      <c r="CM52" s="60"/>
      <c r="CN52" s="60"/>
      <c r="CO52" s="60"/>
      <c r="CP52" s="60"/>
      <c r="CQ52" s="60"/>
      <c r="CR52" s="60"/>
      <c r="CS52" s="60"/>
      <c r="CT52" s="60"/>
      <c r="CU52" s="60"/>
      <c r="CV52" s="60"/>
      <c r="CW52" s="60"/>
      <c r="CX52" s="60"/>
      <c r="CY52" s="60"/>
      <c r="CZ52" s="60"/>
      <c r="DA52" s="60"/>
      <c r="DB52" s="60"/>
      <c r="DC52" s="60"/>
      <c r="DD52" s="60"/>
      <c r="DE52" s="60"/>
      <c r="DF52" s="60"/>
      <c r="DG52" s="60"/>
      <c r="DH52" s="60"/>
      <c r="DI52" s="60"/>
      <c r="DJ52" s="60"/>
      <c r="DK52" s="60"/>
      <c r="DL52" s="60"/>
      <c r="DM52" s="60"/>
      <c r="DN52" s="60"/>
      <c r="DO52" s="60"/>
      <c r="DP52" s="60"/>
      <c r="DQ52" s="60"/>
      <c r="DR52" s="60"/>
      <c r="DS52" s="60"/>
      <c r="DT52" s="60"/>
      <c r="DU52" s="60"/>
      <c r="DV52" s="60"/>
      <c r="DW52" s="60"/>
      <c r="DX52" s="60"/>
      <c r="DY52" s="60"/>
      <c r="DZ52" s="60"/>
      <c r="EA52" s="60"/>
      <c r="EB52" s="60"/>
      <c r="EC52" s="60"/>
      <c r="ED52" s="60"/>
    </row>
    <row x14ac:dyDescent="0.25" r="53" customHeight="1" ht="18">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51"/>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0"/>
      <c r="BZ53" s="60"/>
      <c r="CA53" s="60"/>
      <c r="CB53" s="60"/>
      <c r="CC53" s="60"/>
      <c r="CD53" s="60"/>
      <c r="CE53" s="60"/>
      <c r="CF53" s="60"/>
      <c r="CG53" s="60"/>
      <c r="CH53" s="60"/>
      <c r="CI53" s="60"/>
      <c r="CJ53" s="60"/>
      <c r="CK53" s="60"/>
      <c r="CL53" s="60"/>
      <c r="CM53" s="60"/>
      <c r="CN53" s="60"/>
      <c r="CO53" s="60"/>
      <c r="CP53" s="60"/>
      <c r="CQ53" s="60"/>
      <c r="CR53" s="60"/>
      <c r="CS53" s="60"/>
      <c r="CT53" s="60"/>
      <c r="CU53" s="60"/>
      <c r="CV53" s="60"/>
      <c r="CW53" s="60"/>
      <c r="CX53" s="60"/>
      <c r="CY53" s="60"/>
      <c r="CZ53" s="60"/>
      <c r="DA53" s="60"/>
      <c r="DB53" s="60"/>
      <c r="DC53" s="60"/>
      <c r="DD53" s="60"/>
      <c r="DE53" s="60"/>
      <c r="DF53" s="60"/>
      <c r="DG53" s="60"/>
      <c r="DH53" s="60"/>
      <c r="DI53" s="60"/>
      <c r="DJ53" s="60"/>
      <c r="DK53" s="60"/>
      <c r="DL53" s="60"/>
      <c r="DM53" s="60"/>
      <c r="DN53" s="60"/>
      <c r="DO53" s="60"/>
      <c r="DP53" s="60"/>
      <c r="DQ53" s="60"/>
      <c r="DR53" s="60"/>
      <c r="DS53" s="60"/>
      <c r="DT53" s="60"/>
      <c r="DU53" s="60"/>
      <c r="DV53" s="60"/>
      <c r="DW53" s="60"/>
      <c r="DX53" s="60"/>
      <c r="DY53" s="60"/>
      <c r="DZ53" s="60"/>
      <c r="EA53" s="60"/>
      <c r="EB53" s="60"/>
      <c r="EC53" s="60"/>
      <c r="ED53" s="60"/>
    </row>
    <row x14ac:dyDescent="0.25" r="54" customHeight="1" ht="18">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51"/>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0"/>
      <c r="BZ54" s="60"/>
      <c r="CA54" s="60"/>
      <c r="CB54" s="60"/>
      <c r="CC54" s="60"/>
      <c r="CD54" s="60"/>
      <c r="CE54" s="60"/>
      <c r="CF54" s="60"/>
      <c r="CG54" s="60"/>
      <c r="CH54" s="60"/>
      <c r="CI54" s="60"/>
      <c r="CJ54" s="60"/>
      <c r="CK54" s="60"/>
      <c r="CL54" s="60"/>
      <c r="CM54" s="60"/>
      <c r="CN54" s="60"/>
      <c r="CO54" s="60"/>
      <c r="CP54" s="60"/>
      <c r="CQ54" s="60"/>
      <c r="CR54" s="60"/>
      <c r="CS54" s="60"/>
      <c r="CT54" s="60"/>
      <c r="CU54" s="60"/>
      <c r="CV54" s="60"/>
      <c r="CW54" s="60"/>
      <c r="CX54" s="60"/>
      <c r="CY54" s="60"/>
      <c r="CZ54" s="60"/>
      <c r="DA54" s="60"/>
      <c r="DB54" s="60"/>
      <c r="DC54" s="60"/>
      <c r="DD54" s="60"/>
      <c r="DE54" s="60"/>
      <c r="DF54" s="60"/>
      <c r="DG54" s="60"/>
      <c r="DH54" s="60"/>
      <c r="DI54" s="60"/>
      <c r="DJ54" s="60"/>
      <c r="DK54" s="60"/>
      <c r="DL54" s="60"/>
      <c r="DM54" s="60"/>
      <c r="DN54" s="60"/>
      <c r="DO54" s="60"/>
      <c r="DP54" s="60"/>
      <c r="DQ54" s="60"/>
      <c r="DR54" s="60"/>
      <c r="DS54" s="60"/>
      <c r="DT54" s="60"/>
      <c r="DU54" s="60"/>
      <c r="DV54" s="60"/>
      <c r="DW54" s="60"/>
      <c r="DX54" s="60"/>
      <c r="DY54" s="60"/>
      <c r="DZ54" s="60"/>
      <c r="EA54" s="60"/>
      <c r="EB54" s="60"/>
      <c r="EC54" s="60"/>
      <c r="ED54" s="60"/>
    </row>
    <row x14ac:dyDescent="0.25" r="55" customHeight="1" ht="18">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51"/>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X55" s="60"/>
      <c r="BY55" s="60"/>
      <c r="BZ55" s="60"/>
      <c r="CA55" s="60"/>
      <c r="CB55" s="60"/>
      <c r="CC55" s="60"/>
      <c r="CD55" s="60"/>
      <c r="CE55" s="60"/>
      <c r="CF55" s="60"/>
      <c r="CG55" s="60"/>
      <c r="CH55" s="60"/>
      <c r="CI55" s="60"/>
      <c r="CJ55" s="60"/>
      <c r="CK55" s="60"/>
      <c r="CL55" s="60"/>
      <c r="CM55" s="60"/>
      <c r="CN55" s="60"/>
      <c r="CO55" s="60"/>
      <c r="CP55" s="60"/>
      <c r="CQ55" s="60"/>
      <c r="CR55" s="60"/>
      <c r="CS55" s="60"/>
      <c r="CT55" s="60"/>
      <c r="CU55" s="60"/>
      <c r="CV55" s="60"/>
      <c r="CW55" s="60"/>
      <c r="CX55" s="60"/>
      <c r="CY55" s="60"/>
      <c r="CZ55" s="60"/>
      <c r="DA55" s="60"/>
      <c r="DB55" s="60"/>
      <c r="DC55" s="60"/>
      <c r="DD55" s="60"/>
      <c r="DE55" s="60"/>
      <c r="DF55" s="60"/>
      <c r="DG55" s="60"/>
      <c r="DH55" s="60"/>
      <c r="DI55" s="60"/>
      <c r="DJ55" s="60"/>
      <c r="DK55" s="60"/>
      <c r="DL55" s="60"/>
      <c r="DM55" s="60"/>
      <c r="DN55" s="60"/>
      <c r="DO55" s="60"/>
      <c r="DP55" s="60"/>
      <c r="DQ55" s="60"/>
      <c r="DR55" s="60"/>
      <c r="DS55" s="60"/>
      <c r="DT55" s="60"/>
      <c r="DU55" s="60"/>
      <c r="DV55" s="60"/>
      <c r="DW55" s="60"/>
      <c r="DX55" s="60"/>
      <c r="DY55" s="60"/>
      <c r="DZ55" s="60"/>
      <c r="EA55" s="60"/>
      <c r="EB55" s="60"/>
      <c r="EC55" s="60"/>
      <c r="ED55" s="60"/>
    </row>
    <row x14ac:dyDescent="0.25" r="56" customHeight="1" ht="18">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51"/>
      <c r="AH56" s="60"/>
      <c r="AI56" s="60"/>
      <c r="AJ56" s="60"/>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X56" s="60"/>
      <c r="BY56" s="60"/>
      <c r="BZ56" s="60"/>
      <c r="CA56" s="60"/>
      <c r="CB56" s="60"/>
      <c r="CC56" s="60"/>
      <c r="CD56" s="60"/>
      <c r="CE56" s="60"/>
      <c r="CF56" s="60"/>
      <c r="CG56" s="60"/>
      <c r="CH56" s="60"/>
      <c r="CI56" s="60"/>
      <c r="CJ56" s="60"/>
      <c r="CK56" s="60"/>
      <c r="CL56" s="60"/>
      <c r="CM56" s="60"/>
      <c r="CN56" s="60"/>
      <c r="CO56" s="60"/>
      <c r="CP56" s="60"/>
      <c r="CQ56" s="60"/>
      <c r="CR56" s="60"/>
      <c r="CS56" s="60"/>
      <c r="CT56" s="60"/>
      <c r="CU56" s="60"/>
      <c r="CV56" s="60"/>
      <c r="CW56" s="60"/>
      <c r="CX56" s="60"/>
      <c r="CY56" s="60"/>
      <c r="CZ56" s="60"/>
      <c r="DA56" s="60"/>
      <c r="DB56" s="60"/>
      <c r="DC56" s="60"/>
      <c r="DD56" s="60"/>
      <c r="DE56" s="60"/>
      <c r="DF56" s="60"/>
      <c r="DG56" s="60"/>
      <c r="DH56" s="60"/>
      <c r="DI56" s="60"/>
      <c r="DJ56" s="60"/>
      <c r="DK56" s="60"/>
      <c r="DL56" s="60"/>
      <c r="DM56" s="60"/>
      <c r="DN56" s="60"/>
      <c r="DO56" s="60"/>
      <c r="DP56" s="60"/>
      <c r="DQ56" s="60"/>
      <c r="DR56" s="60"/>
      <c r="DS56" s="60"/>
      <c r="DT56" s="60"/>
      <c r="DU56" s="60"/>
      <c r="DV56" s="60"/>
      <c r="DW56" s="60"/>
      <c r="DX56" s="60"/>
      <c r="DY56" s="60"/>
      <c r="DZ56" s="60"/>
      <c r="EA56" s="60"/>
      <c r="EB56" s="60"/>
      <c r="EC56" s="60"/>
      <c r="ED56" s="60"/>
    </row>
    <row x14ac:dyDescent="0.25" r="57" customHeight="1" ht="18">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51"/>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c r="CA57" s="60"/>
      <c r="CB57" s="60"/>
      <c r="CC57" s="60"/>
      <c r="CD57" s="60"/>
      <c r="CE57" s="60"/>
      <c r="CF57" s="60"/>
      <c r="CG57" s="60"/>
      <c r="CH57" s="60"/>
      <c r="CI57" s="60"/>
      <c r="CJ57" s="60"/>
      <c r="CK57" s="60"/>
      <c r="CL57" s="60"/>
      <c r="CM57" s="60"/>
      <c r="CN57" s="60"/>
      <c r="CO57" s="60"/>
      <c r="CP57" s="60"/>
      <c r="CQ57" s="60"/>
      <c r="CR57" s="60"/>
      <c r="CS57" s="60"/>
      <c r="CT57" s="60"/>
      <c r="CU57" s="60"/>
      <c r="CV57" s="60"/>
      <c r="CW57" s="60"/>
      <c r="CX57" s="60"/>
      <c r="CY57" s="60"/>
      <c r="CZ57" s="60"/>
      <c r="DA57" s="60"/>
      <c r="DB57" s="60"/>
      <c r="DC57" s="60"/>
      <c r="DD57" s="60"/>
      <c r="DE57" s="60"/>
      <c r="DF57" s="60"/>
      <c r="DG57" s="60"/>
      <c r="DH57" s="60"/>
      <c r="DI57" s="60"/>
      <c r="DJ57" s="60"/>
      <c r="DK57" s="60"/>
      <c r="DL57" s="60"/>
      <c r="DM57" s="60"/>
      <c r="DN57" s="60"/>
      <c r="DO57" s="60"/>
      <c r="DP57" s="60"/>
      <c r="DQ57" s="60"/>
      <c r="DR57" s="60"/>
      <c r="DS57" s="60"/>
      <c r="DT57" s="60"/>
      <c r="DU57" s="60"/>
      <c r="DV57" s="60"/>
      <c r="DW57" s="60"/>
      <c r="DX57" s="60"/>
      <c r="DY57" s="60"/>
      <c r="DZ57" s="60"/>
      <c r="EA57" s="60"/>
      <c r="EB57" s="60"/>
      <c r="EC57" s="60"/>
      <c r="ED57" s="60"/>
    </row>
    <row x14ac:dyDescent="0.25" r="58" customHeight="1" ht="1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51"/>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c r="BK58" s="60"/>
      <c r="BL58" s="60"/>
      <c r="BM58" s="60"/>
      <c r="BN58" s="60"/>
      <c r="BO58" s="60"/>
      <c r="BP58" s="60"/>
      <c r="BQ58" s="60"/>
      <c r="BR58" s="60"/>
      <c r="BS58" s="60"/>
      <c r="BT58" s="60"/>
      <c r="BU58" s="60"/>
      <c r="BV58" s="60"/>
      <c r="BW58" s="60"/>
      <c r="BX58" s="60"/>
      <c r="BY58" s="60"/>
      <c r="BZ58" s="60"/>
      <c r="CA58" s="60"/>
      <c r="CB58" s="60"/>
      <c r="CC58" s="60"/>
      <c r="CD58" s="60"/>
      <c r="CE58" s="60"/>
      <c r="CF58" s="60"/>
      <c r="CG58" s="60"/>
      <c r="CH58" s="60"/>
      <c r="CI58" s="60"/>
      <c r="CJ58" s="60"/>
      <c r="CK58" s="60"/>
      <c r="CL58" s="60"/>
      <c r="CM58" s="60"/>
      <c r="CN58" s="60"/>
      <c r="CO58" s="60"/>
      <c r="CP58" s="60"/>
      <c r="CQ58" s="60"/>
      <c r="CR58" s="60"/>
      <c r="CS58" s="60"/>
      <c r="CT58" s="60"/>
      <c r="CU58" s="60"/>
      <c r="CV58" s="60"/>
      <c r="CW58" s="60"/>
      <c r="CX58" s="60"/>
      <c r="CY58" s="60"/>
      <c r="CZ58" s="60"/>
      <c r="DA58" s="60"/>
      <c r="DB58" s="60"/>
      <c r="DC58" s="60"/>
      <c r="DD58" s="60"/>
      <c r="DE58" s="60"/>
      <c r="DF58" s="60"/>
      <c r="DG58" s="60"/>
      <c r="DH58" s="60"/>
      <c r="DI58" s="60"/>
      <c r="DJ58" s="60"/>
      <c r="DK58" s="60"/>
      <c r="DL58" s="60"/>
      <c r="DM58" s="60"/>
      <c r="DN58" s="60"/>
      <c r="DO58" s="60"/>
      <c r="DP58" s="60"/>
      <c r="DQ58" s="60"/>
      <c r="DR58" s="60"/>
      <c r="DS58" s="60"/>
      <c r="DT58" s="60"/>
      <c r="DU58" s="60"/>
      <c r="DV58" s="60"/>
      <c r="DW58" s="60"/>
      <c r="DX58" s="60"/>
      <c r="DY58" s="60"/>
      <c r="DZ58" s="60"/>
      <c r="EA58" s="60"/>
      <c r="EB58" s="60"/>
      <c r="EC58" s="60"/>
      <c r="ED58" s="60"/>
    </row>
    <row x14ac:dyDescent="0.25" r="59" customHeight="1" ht="18">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51"/>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c r="BK59" s="60"/>
      <c r="BL59" s="60"/>
      <c r="BM59" s="60"/>
      <c r="BN59" s="60"/>
      <c r="BO59" s="60"/>
      <c r="BP59" s="60"/>
      <c r="BQ59" s="60"/>
      <c r="BR59" s="60"/>
      <c r="BS59" s="60"/>
      <c r="BT59" s="60"/>
      <c r="BU59" s="60"/>
      <c r="BV59" s="60"/>
      <c r="BW59" s="60"/>
      <c r="BX59" s="60"/>
      <c r="BY59" s="60"/>
      <c r="BZ59" s="60"/>
      <c r="CA59" s="60"/>
      <c r="CB59" s="60"/>
      <c r="CC59" s="60"/>
      <c r="CD59" s="60"/>
      <c r="CE59" s="60"/>
      <c r="CF59" s="60"/>
      <c r="CG59" s="60"/>
      <c r="CH59" s="60"/>
      <c r="CI59" s="60"/>
      <c r="CJ59" s="60"/>
      <c r="CK59" s="60"/>
      <c r="CL59" s="60"/>
      <c r="CM59" s="60"/>
      <c r="CN59" s="60"/>
      <c r="CO59" s="60"/>
      <c r="CP59" s="60"/>
      <c r="CQ59" s="60"/>
      <c r="CR59" s="60"/>
      <c r="CS59" s="60"/>
      <c r="CT59" s="60"/>
      <c r="CU59" s="60"/>
      <c r="CV59" s="60"/>
      <c r="CW59" s="60"/>
      <c r="CX59" s="60"/>
      <c r="CY59" s="60"/>
      <c r="CZ59" s="60"/>
      <c r="DA59" s="60"/>
      <c r="DB59" s="60"/>
      <c r="DC59" s="60"/>
      <c r="DD59" s="60"/>
      <c r="DE59" s="60"/>
      <c r="DF59" s="60"/>
      <c r="DG59" s="60"/>
      <c r="DH59" s="60"/>
      <c r="DI59" s="60"/>
      <c r="DJ59" s="60"/>
      <c r="DK59" s="60"/>
      <c r="DL59" s="60"/>
      <c r="DM59" s="60"/>
      <c r="DN59" s="60"/>
      <c r="DO59" s="60"/>
      <c r="DP59" s="60"/>
      <c r="DQ59" s="60"/>
      <c r="DR59" s="60"/>
      <c r="DS59" s="60"/>
      <c r="DT59" s="60"/>
      <c r="DU59" s="60"/>
      <c r="DV59" s="60"/>
      <c r="DW59" s="60"/>
      <c r="DX59" s="60"/>
      <c r="DY59" s="60"/>
      <c r="DZ59" s="60"/>
      <c r="EA59" s="60"/>
      <c r="EB59" s="60"/>
      <c r="EC59" s="60"/>
      <c r="ED59" s="60"/>
    </row>
    <row x14ac:dyDescent="0.25" r="60" customHeight="1" ht="18">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51"/>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c r="BK60" s="60"/>
      <c r="BL60" s="60"/>
      <c r="BM60" s="60"/>
      <c r="BN60" s="60"/>
      <c r="BO60" s="60"/>
      <c r="BP60" s="60"/>
      <c r="BQ60" s="60"/>
      <c r="BR60" s="60"/>
      <c r="BS60" s="60"/>
      <c r="BT60" s="60"/>
      <c r="BU60" s="60"/>
      <c r="BV60" s="60"/>
      <c r="BW60" s="60"/>
      <c r="BX60" s="60"/>
      <c r="BY60" s="60"/>
      <c r="BZ60" s="60"/>
      <c r="CA60" s="60"/>
      <c r="CB60" s="60"/>
      <c r="CC60" s="60"/>
      <c r="CD60" s="60"/>
      <c r="CE60" s="60"/>
      <c r="CF60" s="60"/>
      <c r="CG60" s="60"/>
      <c r="CH60" s="60"/>
      <c r="CI60" s="60"/>
      <c r="CJ60" s="60"/>
      <c r="CK60" s="60"/>
      <c r="CL60" s="60"/>
      <c r="CM60" s="60"/>
      <c r="CN60" s="60"/>
      <c r="CO60" s="60"/>
      <c r="CP60" s="60"/>
      <c r="CQ60" s="60"/>
      <c r="CR60" s="60"/>
      <c r="CS60" s="60"/>
      <c r="CT60" s="60"/>
      <c r="CU60" s="60"/>
      <c r="CV60" s="60"/>
      <c r="CW60" s="60"/>
      <c r="CX60" s="60"/>
      <c r="CY60" s="60"/>
      <c r="CZ60" s="60"/>
      <c r="DA60" s="60"/>
      <c r="DB60" s="60"/>
      <c r="DC60" s="60"/>
      <c r="DD60" s="60"/>
      <c r="DE60" s="60"/>
      <c r="DF60" s="60"/>
      <c r="DG60" s="60"/>
      <c r="DH60" s="60"/>
      <c r="DI60" s="60"/>
      <c r="DJ60" s="60"/>
      <c r="DK60" s="60"/>
      <c r="DL60" s="60"/>
      <c r="DM60" s="60"/>
      <c r="DN60" s="60"/>
      <c r="DO60" s="60"/>
      <c r="DP60" s="60"/>
      <c r="DQ60" s="60"/>
      <c r="DR60" s="60"/>
      <c r="DS60" s="60"/>
      <c r="DT60" s="60"/>
      <c r="DU60" s="60"/>
      <c r="DV60" s="60"/>
      <c r="DW60" s="60"/>
      <c r="DX60" s="60"/>
      <c r="DY60" s="60"/>
      <c r="DZ60" s="60"/>
      <c r="EA60" s="60"/>
      <c r="EB60" s="60"/>
      <c r="EC60" s="60"/>
      <c r="ED60" s="60"/>
    </row>
    <row x14ac:dyDescent="0.25" r="61" customHeight="1" ht="18">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51"/>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c r="BK61" s="60"/>
      <c r="BL61" s="60"/>
      <c r="BM61" s="60"/>
      <c r="BN61" s="60"/>
      <c r="BO61" s="60"/>
      <c r="BP61" s="60"/>
      <c r="BQ61" s="60"/>
      <c r="BR61" s="60"/>
      <c r="BS61" s="60"/>
      <c r="BT61" s="60"/>
      <c r="BU61" s="60"/>
      <c r="BV61" s="60"/>
      <c r="BW61" s="60"/>
      <c r="BX61" s="60"/>
      <c r="BY61" s="60"/>
      <c r="BZ61" s="60"/>
      <c r="CA61" s="60"/>
      <c r="CB61" s="60"/>
      <c r="CC61" s="60"/>
      <c r="CD61" s="60"/>
      <c r="CE61" s="60"/>
      <c r="CF61" s="60"/>
      <c r="CG61" s="60"/>
      <c r="CH61" s="60"/>
      <c r="CI61" s="60"/>
      <c r="CJ61" s="60"/>
      <c r="CK61" s="60"/>
      <c r="CL61" s="60"/>
      <c r="CM61" s="60"/>
      <c r="CN61" s="60"/>
      <c r="CO61" s="60"/>
      <c r="CP61" s="60"/>
      <c r="CQ61" s="60"/>
      <c r="CR61" s="60"/>
      <c r="CS61" s="60"/>
      <c r="CT61" s="60"/>
      <c r="CU61" s="60"/>
      <c r="CV61" s="60"/>
      <c r="CW61" s="60"/>
      <c r="CX61" s="60"/>
      <c r="CY61" s="60"/>
      <c r="CZ61" s="60"/>
      <c r="DA61" s="60"/>
      <c r="DB61" s="60"/>
      <c r="DC61" s="60"/>
      <c r="DD61" s="60"/>
      <c r="DE61" s="60"/>
      <c r="DF61" s="60"/>
      <c r="DG61" s="60"/>
      <c r="DH61" s="60"/>
      <c r="DI61" s="60"/>
      <c r="DJ61" s="60"/>
      <c r="DK61" s="60"/>
      <c r="DL61" s="60"/>
      <c r="DM61" s="60"/>
      <c r="DN61" s="60"/>
      <c r="DO61" s="60"/>
      <c r="DP61" s="60"/>
      <c r="DQ61" s="60"/>
      <c r="DR61" s="60"/>
      <c r="DS61" s="60"/>
      <c r="DT61" s="60"/>
      <c r="DU61" s="60"/>
      <c r="DV61" s="60"/>
      <c r="DW61" s="60"/>
      <c r="DX61" s="60"/>
      <c r="DY61" s="60"/>
      <c r="DZ61" s="60"/>
      <c r="EA61" s="60"/>
      <c r="EB61" s="60"/>
      <c r="EC61" s="60"/>
      <c r="ED61" s="60"/>
    </row>
    <row x14ac:dyDescent="0.25" r="62" customHeight="1" ht="18">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51"/>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60"/>
      <c r="BU62" s="60"/>
      <c r="BV62" s="60"/>
      <c r="BW62" s="60"/>
      <c r="BX62" s="60"/>
      <c r="BY62" s="60"/>
      <c r="BZ62" s="60"/>
      <c r="CA62" s="60"/>
      <c r="CB62" s="60"/>
      <c r="CC62" s="60"/>
      <c r="CD62" s="60"/>
      <c r="CE62" s="60"/>
      <c r="CF62" s="60"/>
      <c r="CG62" s="60"/>
      <c r="CH62" s="60"/>
      <c r="CI62" s="60"/>
      <c r="CJ62" s="60"/>
      <c r="CK62" s="60"/>
      <c r="CL62" s="60"/>
      <c r="CM62" s="60"/>
      <c r="CN62" s="60"/>
      <c r="CO62" s="60"/>
      <c r="CP62" s="60"/>
      <c r="CQ62" s="60"/>
      <c r="CR62" s="60"/>
      <c r="CS62" s="60"/>
      <c r="CT62" s="60"/>
      <c r="CU62" s="60"/>
      <c r="CV62" s="60"/>
      <c r="CW62" s="60"/>
      <c r="CX62" s="60"/>
      <c r="CY62" s="60"/>
      <c r="CZ62" s="60"/>
      <c r="DA62" s="60"/>
      <c r="DB62" s="60"/>
      <c r="DC62" s="60"/>
      <c r="DD62" s="60"/>
      <c r="DE62" s="60"/>
      <c r="DF62" s="60"/>
      <c r="DG62" s="60"/>
      <c r="DH62" s="60"/>
      <c r="DI62" s="60"/>
      <c r="DJ62" s="60"/>
      <c r="DK62" s="60"/>
      <c r="DL62" s="60"/>
      <c r="DM62" s="60"/>
      <c r="DN62" s="60"/>
      <c r="DO62" s="60"/>
      <c r="DP62" s="60"/>
      <c r="DQ62" s="60"/>
      <c r="DR62" s="60"/>
      <c r="DS62" s="60"/>
      <c r="DT62" s="60"/>
      <c r="DU62" s="60"/>
      <c r="DV62" s="60"/>
      <c r="DW62" s="60"/>
      <c r="DX62" s="60"/>
      <c r="DY62" s="60"/>
      <c r="DZ62" s="60"/>
      <c r="EA62" s="60"/>
      <c r="EB62" s="60"/>
      <c r="EC62" s="60"/>
      <c r="ED62" s="60"/>
    </row>
    <row x14ac:dyDescent="0.25" r="63" customHeight="1" ht="18">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51"/>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0"/>
      <c r="BX63" s="60"/>
      <c r="BY63" s="60"/>
      <c r="BZ63" s="60"/>
      <c r="CA63" s="60"/>
      <c r="CB63" s="60"/>
      <c r="CC63" s="60"/>
      <c r="CD63" s="60"/>
      <c r="CE63" s="60"/>
      <c r="CF63" s="60"/>
      <c r="CG63" s="60"/>
      <c r="CH63" s="60"/>
      <c r="CI63" s="60"/>
      <c r="CJ63" s="60"/>
      <c r="CK63" s="60"/>
      <c r="CL63" s="60"/>
      <c r="CM63" s="60"/>
      <c r="CN63" s="60"/>
      <c r="CO63" s="60"/>
      <c r="CP63" s="60"/>
      <c r="CQ63" s="60"/>
      <c r="CR63" s="60"/>
      <c r="CS63" s="60"/>
      <c r="CT63" s="60"/>
      <c r="CU63" s="60"/>
      <c r="CV63" s="60"/>
      <c r="CW63" s="60"/>
      <c r="CX63" s="60"/>
      <c r="CY63" s="60"/>
      <c r="CZ63" s="60"/>
      <c r="DA63" s="60"/>
      <c r="DB63" s="60"/>
      <c r="DC63" s="60"/>
      <c r="DD63" s="60"/>
      <c r="DE63" s="60"/>
      <c r="DF63" s="60"/>
      <c r="DG63" s="60"/>
      <c r="DH63" s="60"/>
      <c r="DI63" s="60"/>
      <c r="DJ63" s="60"/>
      <c r="DK63" s="60"/>
      <c r="DL63" s="60"/>
      <c r="DM63" s="60"/>
      <c r="DN63" s="60"/>
      <c r="DO63" s="60"/>
      <c r="DP63" s="60"/>
      <c r="DQ63" s="60"/>
      <c r="DR63" s="60"/>
      <c r="DS63" s="60"/>
      <c r="DT63" s="60"/>
      <c r="DU63" s="60"/>
      <c r="DV63" s="60"/>
      <c r="DW63" s="60"/>
      <c r="DX63" s="60"/>
      <c r="DY63" s="60"/>
      <c r="DZ63" s="60"/>
      <c r="EA63" s="60"/>
      <c r="EB63" s="60"/>
      <c r="EC63" s="60"/>
      <c r="ED63" s="60"/>
    </row>
    <row x14ac:dyDescent="0.25" r="64" customHeight="1" ht="18">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51"/>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c r="BV64" s="60"/>
      <c r="BW64" s="60"/>
      <c r="BX64" s="60"/>
      <c r="BY64" s="60"/>
      <c r="BZ64" s="60"/>
      <c r="CA64" s="60"/>
      <c r="CB64" s="60"/>
      <c r="CC64" s="60"/>
      <c r="CD64" s="60"/>
      <c r="CE64" s="60"/>
      <c r="CF64" s="60"/>
      <c r="CG64" s="60"/>
      <c r="CH64" s="60"/>
      <c r="CI64" s="60"/>
      <c r="CJ64" s="60"/>
      <c r="CK64" s="60"/>
      <c r="CL64" s="60"/>
      <c r="CM64" s="60"/>
      <c r="CN64" s="60"/>
      <c r="CO64" s="60"/>
      <c r="CP64" s="60"/>
      <c r="CQ64" s="60"/>
      <c r="CR64" s="60"/>
      <c r="CS64" s="60"/>
      <c r="CT64" s="60"/>
      <c r="CU64" s="60"/>
      <c r="CV64" s="60"/>
      <c r="CW64" s="60"/>
      <c r="CX64" s="60"/>
      <c r="CY64" s="60"/>
      <c r="CZ64" s="60"/>
      <c r="DA64" s="60"/>
      <c r="DB64" s="60"/>
      <c r="DC64" s="60"/>
      <c r="DD64" s="60"/>
      <c r="DE64" s="60"/>
      <c r="DF64" s="60"/>
      <c r="DG64" s="60"/>
      <c r="DH64" s="60"/>
      <c r="DI64" s="60"/>
      <c r="DJ64" s="60"/>
      <c r="DK64" s="60"/>
      <c r="DL64" s="60"/>
      <c r="DM64" s="60"/>
      <c r="DN64" s="60"/>
      <c r="DO64" s="60"/>
      <c r="DP64" s="60"/>
      <c r="DQ64" s="60"/>
      <c r="DR64" s="60"/>
      <c r="DS64" s="60"/>
      <c r="DT64" s="60"/>
      <c r="DU64" s="60"/>
      <c r="DV64" s="60"/>
      <c r="DW64" s="60"/>
      <c r="DX64" s="60"/>
      <c r="DY64" s="60"/>
      <c r="DZ64" s="60"/>
      <c r="EA64" s="60"/>
      <c r="EB64" s="60"/>
      <c r="EC64" s="60"/>
      <c r="ED64" s="60"/>
    </row>
    <row x14ac:dyDescent="0.25" r="65" customHeight="1" ht="18">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51"/>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X65" s="60"/>
      <c r="BY65" s="60"/>
      <c r="BZ65" s="60"/>
      <c r="CA65" s="60"/>
      <c r="CB65" s="60"/>
      <c r="CC65" s="60"/>
      <c r="CD65" s="60"/>
      <c r="CE65" s="60"/>
      <c r="CF65" s="60"/>
      <c r="CG65" s="60"/>
      <c r="CH65" s="60"/>
      <c r="CI65" s="60"/>
      <c r="CJ65" s="60"/>
      <c r="CK65" s="60"/>
      <c r="CL65" s="60"/>
      <c r="CM65" s="60"/>
      <c r="CN65" s="60"/>
      <c r="CO65" s="60"/>
      <c r="CP65" s="60"/>
      <c r="CQ65" s="60"/>
      <c r="CR65" s="60"/>
      <c r="CS65" s="60"/>
      <c r="CT65" s="60"/>
      <c r="CU65" s="60"/>
      <c r="CV65" s="60"/>
      <c r="CW65" s="60"/>
      <c r="CX65" s="60"/>
      <c r="CY65" s="60"/>
      <c r="CZ65" s="60"/>
      <c r="DA65" s="60"/>
      <c r="DB65" s="60"/>
      <c r="DC65" s="60"/>
      <c r="DD65" s="60"/>
      <c r="DE65" s="60"/>
      <c r="DF65" s="60"/>
      <c r="DG65" s="60"/>
      <c r="DH65" s="60"/>
      <c r="DI65" s="60"/>
      <c r="DJ65" s="60"/>
      <c r="DK65" s="60"/>
      <c r="DL65" s="60"/>
      <c r="DM65" s="60"/>
      <c r="DN65" s="60"/>
      <c r="DO65" s="60"/>
      <c r="DP65" s="60"/>
      <c r="DQ65" s="60"/>
      <c r="DR65" s="60"/>
      <c r="DS65" s="60"/>
      <c r="DT65" s="60"/>
      <c r="DU65" s="60"/>
      <c r="DV65" s="60"/>
      <c r="DW65" s="60"/>
      <c r="DX65" s="60"/>
      <c r="DY65" s="60"/>
      <c r="DZ65" s="60"/>
      <c r="EA65" s="60"/>
      <c r="EB65" s="60"/>
      <c r="EC65" s="60"/>
      <c r="ED65" s="60"/>
    </row>
    <row x14ac:dyDescent="0.25" r="66" customHeight="1" ht="18">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51"/>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X66" s="60"/>
      <c r="BY66" s="60"/>
      <c r="BZ66" s="60"/>
      <c r="CA66" s="60"/>
      <c r="CB66" s="60"/>
      <c r="CC66" s="60"/>
      <c r="CD66" s="60"/>
      <c r="CE66" s="60"/>
      <c r="CF66" s="60"/>
      <c r="CG66" s="60"/>
      <c r="CH66" s="60"/>
      <c r="CI66" s="60"/>
      <c r="CJ66" s="60"/>
      <c r="CK66" s="60"/>
      <c r="CL66" s="60"/>
      <c r="CM66" s="60"/>
      <c r="CN66" s="60"/>
      <c r="CO66" s="60"/>
      <c r="CP66" s="60"/>
      <c r="CQ66" s="60"/>
      <c r="CR66" s="60"/>
      <c r="CS66" s="60"/>
      <c r="CT66" s="60"/>
      <c r="CU66" s="60"/>
      <c r="CV66" s="60"/>
      <c r="CW66" s="60"/>
      <c r="CX66" s="60"/>
      <c r="CY66" s="60"/>
      <c r="CZ66" s="60"/>
      <c r="DA66" s="60"/>
      <c r="DB66" s="60"/>
      <c r="DC66" s="60"/>
      <c r="DD66" s="60"/>
      <c r="DE66" s="60"/>
      <c r="DF66" s="60"/>
      <c r="DG66" s="60"/>
      <c r="DH66" s="60"/>
      <c r="DI66" s="60"/>
      <c r="DJ66" s="60"/>
      <c r="DK66" s="60"/>
      <c r="DL66" s="60"/>
      <c r="DM66" s="60"/>
      <c r="DN66" s="60"/>
      <c r="DO66" s="60"/>
      <c r="DP66" s="60"/>
      <c r="DQ66" s="60"/>
      <c r="DR66" s="60"/>
      <c r="DS66" s="60"/>
      <c r="DT66" s="60"/>
      <c r="DU66" s="60"/>
      <c r="DV66" s="60"/>
      <c r="DW66" s="60"/>
      <c r="DX66" s="60"/>
      <c r="DY66" s="60"/>
      <c r="DZ66" s="60"/>
      <c r="EA66" s="60"/>
      <c r="EB66" s="60"/>
      <c r="EC66" s="60"/>
      <c r="ED66" s="60"/>
    </row>
    <row x14ac:dyDescent="0.25" r="67" customHeight="1" ht="18">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51"/>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0"/>
      <c r="BX67" s="60"/>
      <c r="BY67" s="60"/>
      <c r="BZ67" s="60"/>
      <c r="CA67" s="60"/>
      <c r="CB67" s="60"/>
      <c r="CC67" s="60"/>
      <c r="CD67" s="60"/>
      <c r="CE67" s="60"/>
      <c r="CF67" s="60"/>
      <c r="CG67" s="60"/>
      <c r="CH67" s="60"/>
      <c r="CI67" s="60"/>
      <c r="CJ67" s="60"/>
      <c r="CK67" s="60"/>
      <c r="CL67" s="60"/>
      <c r="CM67" s="60"/>
      <c r="CN67" s="60"/>
      <c r="CO67" s="60"/>
      <c r="CP67" s="60"/>
      <c r="CQ67" s="60"/>
      <c r="CR67" s="60"/>
      <c r="CS67" s="60"/>
      <c r="CT67" s="60"/>
      <c r="CU67" s="60"/>
      <c r="CV67" s="60"/>
      <c r="CW67" s="60"/>
      <c r="CX67" s="60"/>
      <c r="CY67" s="60"/>
      <c r="CZ67" s="60"/>
      <c r="DA67" s="60"/>
      <c r="DB67" s="60"/>
      <c r="DC67" s="60"/>
      <c r="DD67" s="60"/>
      <c r="DE67" s="60"/>
      <c r="DF67" s="60"/>
      <c r="DG67" s="60"/>
      <c r="DH67" s="60"/>
      <c r="DI67" s="60"/>
      <c r="DJ67" s="60"/>
      <c r="DK67" s="60"/>
      <c r="DL67" s="60"/>
      <c r="DM67" s="60"/>
      <c r="DN67" s="60"/>
      <c r="DO67" s="60"/>
      <c r="DP67" s="60"/>
      <c r="DQ67" s="60"/>
      <c r="DR67" s="60"/>
      <c r="DS67" s="60"/>
      <c r="DT67" s="60"/>
      <c r="DU67" s="60"/>
      <c r="DV67" s="60"/>
      <c r="DW67" s="60"/>
      <c r="DX67" s="60"/>
      <c r="DY67" s="60"/>
      <c r="DZ67" s="60"/>
      <c r="EA67" s="60"/>
      <c r="EB67" s="60"/>
      <c r="EC67" s="60"/>
      <c r="ED67" s="60"/>
    </row>
    <row x14ac:dyDescent="0.25" r="68" customHeight="1" ht="1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51"/>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0"/>
      <c r="BZ68" s="60"/>
      <c r="CA68" s="60"/>
      <c r="CB68" s="60"/>
      <c r="CC68" s="60"/>
      <c r="CD68" s="60"/>
      <c r="CE68" s="60"/>
      <c r="CF68" s="60"/>
      <c r="CG68" s="60"/>
      <c r="CH68" s="60"/>
      <c r="CI68" s="60"/>
      <c r="CJ68" s="60"/>
      <c r="CK68" s="60"/>
      <c r="CL68" s="60"/>
      <c r="CM68" s="60"/>
      <c r="CN68" s="60"/>
      <c r="CO68" s="60"/>
      <c r="CP68" s="60"/>
      <c r="CQ68" s="60"/>
      <c r="CR68" s="60"/>
      <c r="CS68" s="60"/>
      <c r="CT68" s="60"/>
      <c r="CU68" s="60"/>
      <c r="CV68" s="60"/>
      <c r="CW68" s="60"/>
      <c r="CX68" s="60"/>
      <c r="CY68" s="60"/>
      <c r="CZ68" s="60"/>
      <c r="DA68" s="60"/>
      <c r="DB68" s="60"/>
      <c r="DC68" s="60"/>
      <c r="DD68" s="60"/>
      <c r="DE68" s="60"/>
      <c r="DF68" s="60"/>
      <c r="DG68" s="60"/>
      <c r="DH68" s="60"/>
      <c r="DI68" s="60"/>
      <c r="DJ68" s="60"/>
      <c r="DK68" s="60"/>
      <c r="DL68" s="60"/>
      <c r="DM68" s="60"/>
      <c r="DN68" s="60"/>
      <c r="DO68" s="60"/>
      <c r="DP68" s="60"/>
      <c r="DQ68" s="60"/>
      <c r="DR68" s="60"/>
      <c r="DS68" s="60"/>
      <c r="DT68" s="60"/>
      <c r="DU68" s="60"/>
      <c r="DV68" s="60"/>
      <c r="DW68" s="60"/>
      <c r="DX68" s="60"/>
      <c r="DY68" s="60"/>
      <c r="DZ68" s="60"/>
      <c r="EA68" s="60"/>
      <c r="EB68" s="60"/>
      <c r="EC68" s="60"/>
      <c r="ED68" s="60"/>
    </row>
    <row x14ac:dyDescent="0.25" r="69" customHeight="1" ht="18">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51"/>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0"/>
      <c r="BZ69" s="60"/>
      <c r="CA69" s="60"/>
      <c r="CB69" s="60"/>
      <c r="CC69" s="60"/>
      <c r="CD69" s="60"/>
      <c r="CE69" s="60"/>
      <c r="CF69" s="60"/>
      <c r="CG69" s="60"/>
      <c r="CH69" s="60"/>
      <c r="CI69" s="60"/>
      <c r="CJ69" s="60"/>
      <c r="CK69" s="60"/>
      <c r="CL69" s="60"/>
      <c r="CM69" s="60"/>
      <c r="CN69" s="60"/>
      <c r="CO69" s="60"/>
      <c r="CP69" s="60"/>
      <c r="CQ69" s="60"/>
      <c r="CR69" s="60"/>
      <c r="CS69" s="60"/>
      <c r="CT69" s="60"/>
      <c r="CU69" s="60"/>
      <c r="CV69" s="60"/>
      <c r="CW69" s="60"/>
      <c r="CX69" s="60"/>
      <c r="CY69" s="60"/>
      <c r="CZ69" s="60"/>
      <c r="DA69" s="60"/>
      <c r="DB69" s="60"/>
      <c r="DC69" s="60"/>
      <c r="DD69" s="60"/>
      <c r="DE69" s="60"/>
      <c r="DF69" s="60"/>
      <c r="DG69" s="60"/>
      <c r="DH69" s="60"/>
      <c r="DI69" s="60"/>
      <c r="DJ69" s="60"/>
      <c r="DK69" s="60"/>
      <c r="DL69" s="60"/>
      <c r="DM69" s="60"/>
      <c r="DN69" s="60"/>
      <c r="DO69" s="60"/>
      <c r="DP69" s="60"/>
      <c r="DQ69" s="60"/>
      <c r="DR69" s="60"/>
      <c r="DS69" s="60"/>
      <c r="DT69" s="60"/>
      <c r="DU69" s="60"/>
      <c r="DV69" s="60"/>
      <c r="DW69" s="60"/>
      <c r="DX69" s="60"/>
      <c r="DY69" s="60"/>
      <c r="DZ69" s="60"/>
      <c r="EA69" s="60"/>
      <c r="EB69" s="60"/>
      <c r="EC69" s="60"/>
      <c r="ED69" s="60"/>
    </row>
    <row x14ac:dyDescent="0.25" r="70" customHeight="1" ht="18">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51"/>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0"/>
      <c r="BZ70" s="60"/>
      <c r="CA70" s="60"/>
      <c r="CB70" s="60"/>
      <c r="CC70" s="60"/>
      <c r="CD70" s="60"/>
      <c r="CE70" s="60"/>
      <c r="CF70" s="60"/>
      <c r="CG70" s="60"/>
      <c r="CH70" s="60"/>
      <c r="CI70" s="60"/>
      <c r="CJ70" s="60"/>
      <c r="CK70" s="60"/>
      <c r="CL70" s="60"/>
      <c r="CM70" s="60"/>
      <c r="CN70" s="60"/>
      <c r="CO70" s="60"/>
      <c r="CP70" s="60"/>
      <c r="CQ70" s="60"/>
      <c r="CR70" s="60"/>
      <c r="CS70" s="60"/>
      <c r="CT70" s="60"/>
      <c r="CU70" s="60"/>
      <c r="CV70" s="60"/>
      <c r="CW70" s="60"/>
      <c r="CX70" s="60"/>
      <c r="CY70" s="60"/>
      <c r="CZ70" s="60"/>
      <c r="DA70" s="60"/>
      <c r="DB70" s="60"/>
      <c r="DC70" s="60"/>
      <c r="DD70" s="60"/>
      <c r="DE70" s="60"/>
      <c r="DF70" s="60"/>
      <c r="DG70" s="60"/>
      <c r="DH70" s="60"/>
      <c r="DI70" s="60"/>
      <c r="DJ70" s="60"/>
      <c r="DK70" s="60"/>
      <c r="DL70" s="60"/>
      <c r="DM70" s="60"/>
      <c r="DN70" s="60"/>
      <c r="DO70" s="60"/>
      <c r="DP70" s="60"/>
      <c r="DQ70" s="60"/>
      <c r="DR70" s="60"/>
      <c r="DS70" s="60"/>
      <c r="DT70" s="60"/>
      <c r="DU70" s="60"/>
      <c r="DV70" s="60"/>
      <c r="DW70" s="60"/>
      <c r="DX70" s="60"/>
      <c r="DY70" s="60"/>
      <c r="DZ70" s="60"/>
      <c r="EA70" s="60"/>
      <c r="EB70" s="60"/>
      <c r="EC70" s="60"/>
      <c r="ED70" s="60"/>
    </row>
    <row x14ac:dyDescent="0.25" r="71" customHeight="1" ht="18">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51"/>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0"/>
      <c r="BZ71" s="60"/>
      <c r="CA71" s="60"/>
      <c r="CB71" s="60"/>
      <c r="CC71" s="60"/>
      <c r="CD71" s="60"/>
      <c r="CE71" s="60"/>
      <c r="CF71" s="60"/>
      <c r="CG71" s="60"/>
      <c r="CH71" s="60"/>
      <c r="CI71" s="60"/>
      <c r="CJ71" s="60"/>
      <c r="CK71" s="60"/>
      <c r="CL71" s="60"/>
      <c r="CM71" s="60"/>
      <c r="CN71" s="60"/>
      <c r="CO71" s="60"/>
      <c r="CP71" s="60"/>
      <c r="CQ71" s="60"/>
      <c r="CR71" s="60"/>
      <c r="CS71" s="60"/>
      <c r="CT71" s="60"/>
      <c r="CU71" s="60"/>
      <c r="CV71" s="60"/>
      <c r="CW71" s="60"/>
      <c r="CX71" s="60"/>
      <c r="CY71" s="60"/>
      <c r="CZ71" s="60"/>
      <c r="DA71" s="60"/>
      <c r="DB71" s="60"/>
      <c r="DC71" s="60"/>
      <c r="DD71" s="60"/>
      <c r="DE71" s="60"/>
      <c r="DF71" s="60"/>
      <c r="DG71" s="60"/>
      <c r="DH71" s="60"/>
      <c r="DI71" s="60"/>
      <c r="DJ71" s="60"/>
      <c r="DK71" s="60"/>
      <c r="DL71" s="60"/>
      <c r="DM71" s="60"/>
      <c r="DN71" s="60"/>
      <c r="DO71" s="60"/>
      <c r="DP71" s="60"/>
      <c r="DQ71" s="60"/>
      <c r="DR71" s="60"/>
      <c r="DS71" s="60"/>
      <c r="DT71" s="60"/>
      <c r="DU71" s="60"/>
      <c r="DV71" s="60"/>
      <c r="DW71" s="60"/>
      <c r="DX71" s="60"/>
      <c r="DY71" s="60"/>
      <c r="DZ71" s="60"/>
      <c r="EA71" s="60"/>
      <c r="EB71" s="60"/>
      <c r="EC71" s="60"/>
      <c r="ED71" s="60"/>
    </row>
    <row x14ac:dyDescent="0.25" r="72" customHeight="1" ht="18">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51"/>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0"/>
      <c r="BZ72" s="60"/>
      <c r="CA72" s="60"/>
      <c r="CB72" s="60"/>
      <c r="CC72" s="60"/>
      <c r="CD72" s="60"/>
      <c r="CE72" s="60"/>
      <c r="CF72" s="60"/>
      <c r="CG72" s="60"/>
      <c r="CH72" s="60"/>
      <c r="CI72" s="60"/>
      <c r="CJ72" s="60"/>
      <c r="CK72" s="60"/>
      <c r="CL72" s="60"/>
      <c r="CM72" s="60"/>
      <c r="CN72" s="60"/>
      <c r="CO72" s="60"/>
      <c r="CP72" s="60"/>
      <c r="CQ72" s="60"/>
      <c r="CR72" s="60"/>
      <c r="CS72" s="60"/>
      <c r="CT72" s="60"/>
      <c r="CU72" s="60"/>
      <c r="CV72" s="60"/>
      <c r="CW72" s="60"/>
      <c r="CX72" s="60"/>
      <c r="CY72" s="60"/>
      <c r="CZ72" s="60"/>
      <c r="DA72" s="60"/>
      <c r="DB72" s="60"/>
      <c r="DC72" s="60"/>
      <c r="DD72" s="60"/>
      <c r="DE72" s="60"/>
      <c r="DF72" s="60"/>
      <c r="DG72" s="60"/>
      <c r="DH72" s="60"/>
      <c r="DI72" s="60"/>
      <c r="DJ72" s="60"/>
      <c r="DK72" s="60"/>
      <c r="DL72" s="60"/>
      <c r="DM72" s="60"/>
      <c r="DN72" s="60"/>
      <c r="DO72" s="60"/>
      <c r="DP72" s="60"/>
      <c r="DQ72" s="60"/>
      <c r="DR72" s="60"/>
      <c r="DS72" s="60"/>
      <c r="DT72" s="60"/>
      <c r="DU72" s="60"/>
      <c r="DV72" s="60"/>
      <c r="DW72" s="60"/>
      <c r="DX72" s="60"/>
      <c r="DY72" s="60"/>
      <c r="DZ72" s="60"/>
      <c r="EA72" s="60"/>
      <c r="EB72" s="60"/>
      <c r="EC72" s="60"/>
      <c r="ED72" s="60"/>
    </row>
    <row x14ac:dyDescent="0.25" r="73" customHeight="1" ht="18">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51"/>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c r="CA73" s="60"/>
      <c r="CB73" s="60"/>
      <c r="CC73" s="60"/>
      <c r="CD73" s="60"/>
      <c r="CE73" s="60"/>
      <c r="CF73" s="60"/>
      <c r="CG73" s="60"/>
      <c r="CH73" s="60"/>
      <c r="CI73" s="60"/>
      <c r="CJ73" s="60"/>
      <c r="CK73" s="60"/>
      <c r="CL73" s="60"/>
      <c r="CM73" s="60"/>
      <c r="CN73" s="60"/>
      <c r="CO73" s="60"/>
      <c r="CP73" s="60"/>
      <c r="CQ73" s="60"/>
      <c r="CR73" s="60"/>
      <c r="CS73" s="60"/>
      <c r="CT73" s="60"/>
      <c r="CU73" s="60"/>
      <c r="CV73" s="60"/>
      <c r="CW73" s="60"/>
      <c r="CX73" s="60"/>
      <c r="CY73" s="60"/>
      <c r="CZ73" s="60"/>
      <c r="DA73" s="60"/>
      <c r="DB73" s="60"/>
      <c r="DC73" s="60"/>
      <c r="DD73" s="60"/>
      <c r="DE73" s="60"/>
      <c r="DF73" s="60"/>
      <c r="DG73" s="60"/>
      <c r="DH73" s="60"/>
      <c r="DI73" s="60"/>
      <c r="DJ73" s="60"/>
      <c r="DK73" s="60"/>
      <c r="DL73" s="60"/>
      <c r="DM73" s="60"/>
      <c r="DN73" s="60"/>
      <c r="DO73" s="60"/>
      <c r="DP73" s="60"/>
      <c r="DQ73" s="60"/>
      <c r="DR73" s="60"/>
      <c r="DS73" s="60"/>
      <c r="DT73" s="60"/>
      <c r="DU73" s="60"/>
      <c r="DV73" s="60"/>
      <c r="DW73" s="60"/>
      <c r="DX73" s="60"/>
      <c r="DY73" s="60"/>
      <c r="DZ73" s="60"/>
      <c r="EA73" s="60"/>
      <c r="EB73" s="60"/>
      <c r="EC73" s="60"/>
      <c r="ED73" s="60"/>
    </row>
    <row x14ac:dyDescent="0.25" r="74" customHeight="1" ht="18">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51"/>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0"/>
      <c r="BZ74" s="60"/>
      <c r="CA74" s="60"/>
      <c r="CB74" s="60"/>
      <c r="CC74" s="60"/>
      <c r="CD74" s="60"/>
      <c r="CE74" s="60"/>
      <c r="CF74" s="60"/>
      <c r="CG74" s="60"/>
      <c r="CH74" s="60"/>
      <c r="CI74" s="60"/>
      <c r="CJ74" s="60"/>
      <c r="CK74" s="60"/>
      <c r="CL74" s="60"/>
      <c r="CM74" s="60"/>
      <c r="CN74" s="60"/>
      <c r="CO74" s="60"/>
      <c r="CP74" s="60"/>
      <c r="CQ74" s="60"/>
      <c r="CR74" s="60"/>
      <c r="CS74" s="60"/>
      <c r="CT74" s="60"/>
      <c r="CU74" s="60"/>
      <c r="CV74" s="60"/>
      <c r="CW74" s="60"/>
      <c r="CX74" s="60"/>
      <c r="CY74" s="60"/>
      <c r="CZ74" s="60"/>
      <c r="DA74" s="60"/>
      <c r="DB74" s="60"/>
      <c r="DC74" s="60"/>
      <c r="DD74" s="60"/>
      <c r="DE74" s="60"/>
      <c r="DF74" s="60"/>
      <c r="DG74" s="60"/>
      <c r="DH74" s="60"/>
      <c r="DI74" s="60"/>
      <c r="DJ74" s="60"/>
      <c r="DK74" s="60"/>
      <c r="DL74" s="60"/>
      <c r="DM74" s="60"/>
      <c r="DN74" s="60"/>
      <c r="DO74" s="60"/>
      <c r="DP74" s="60"/>
      <c r="DQ74" s="60"/>
      <c r="DR74" s="60"/>
      <c r="DS74" s="60"/>
      <c r="DT74" s="60"/>
      <c r="DU74" s="60"/>
      <c r="DV74" s="60"/>
      <c r="DW74" s="60"/>
      <c r="DX74" s="60"/>
      <c r="DY74" s="60"/>
      <c r="DZ74" s="60"/>
      <c r="EA74" s="60"/>
      <c r="EB74" s="60"/>
      <c r="EC74" s="60"/>
      <c r="ED74" s="60"/>
    </row>
    <row x14ac:dyDescent="0.25" r="75" customHeight="1" ht="18">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51"/>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0"/>
      <c r="BZ75" s="60"/>
      <c r="CA75" s="60"/>
      <c r="CB75" s="60"/>
      <c r="CC75" s="60"/>
      <c r="CD75" s="60"/>
      <c r="CE75" s="60"/>
      <c r="CF75" s="60"/>
      <c r="CG75" s="60"/>
      <c r="CH75" s="60"/>
      <c r="CI75" s="60"/>
      <c r="CJ75" s="60"/>
      <c r="CK75" s="60"/>
      <c r="CL75" s="60"/>
      <c r="CM75" s="60"/>
      <c r="CN75" s="60"/>
      <c r="CO75" s="60"/>
      <c r="CP75" s="60"/>
      <c r="CQ75" s="60"/>
      <c r="CR75" s="60"/>
      <c r="CS75" s="60"/>
      <c r="CT75" s="60"/>
      <c r="CU75" s="60"/>
      <c r="CV75" s="60"/>
      <c r="CW75" s="60"/>
      <c r="CX75" s="60"/>
      <c r="CY75" s="60"/>
      <c r="CZ75" s="60"/>
      <c r="DA75" s="60"/>
      <c r="DB75" s="60"/>
      <c r="DC75" s="60"/>
      <c r="DD75" s="60"/>
      <c r="DE75" s="60"/>
      <c r="DF75" s="60"/>
      <c r="DG75" s="60"/>
      <c r="DH75" s="60"/>
      <c r="DI75" s="60"/>
      <c r="DJ75" s="60"/>
      <c r="DK75" s="60"/>
      <c r="DL75" s="60"/>
      <c r="DM75" s="60"/>
      <c r="DN75" s="60"/>
      <c r="DO75" s="60"/>
      <c r="DP75" s="60"/>
      <c r="DQ75" s="60"/>
      <c r="DR75" s="60"/>
      <c r="DS75" s="60"/>
      <c r="DT75" s="60"/>
      <c r="DU75" s="60"/>
      <c r="DV75" s="60"/>
      <c r="DW75" s="60"/>
      <c r="DX75" s="60"/>
      <c r="DY75" s="60"/>
      <c r="DZ75" s="60"/>
      <c r="EA75" s="60"/>
      <c r="EB75" s="60"/>
      <c r="EC75" s="60"/>
      <c r="ED75" s="60"/>
    </row>
    <row x14ac:dyDescent="0.25" r="76" customHeight="1" ht="18">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51"/>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0"/>
      <c r="BZ76" s="60"/>
      <c r="CA76" s="60"/>
      <c r="CB76" s="60"/>
      <c r="CC76" s="60"/>
      <c r="CD76" s="60"/>
      <c r="CE76" s="60"/>
      <c r="CF76" s="60"/>
      <c r="CG76" s="60"/>
      <c r="CH76" s="60"/>
      <c r="CI76" s="60"/>
      <c r="CJ76" s="60"/>
      <c r="CK76" s="60"/>
      <c r="CL76" s="60"/>
      <c r="CM76" s="60"/>
      <c r="CN76" s="60"/>
      <c r="CO76" s="60"/>
      <c r="CP76" s="60"/>
      <c r="CQ76" s="60"/>
      <c r="CR76" s="60"/>
      <c r="CS76" s="60"/>
      <c r="CT76" s="60"/>
      <c r="CU76" s="60"/>
      <c r="CV76" s="60"/>
      <c r="CW76" s="60"/>
      <c r="CX76" s="60"/>
      <c r="CY76" s="60"/>
      <c r="CZ76" s="60"/>
      <c r="DA76" s="60"/>
      <c r="DB76" s="60"/>
      <c r="DC76" s="60"/>
      <c r="DD76" s="60"/>
      <c r="DE76" s="60"/>
      <c r="DF76" s="60"/>
      <c r="DG76" s="60"/>
      <c r="DH76" s="60"/>
      <c r="DI76" s="60"/>
      <c r="DJ76" s="60"/>
      <c r="DK76" s="60"/>
      <c r="DL76" s="60"/>
      <c r="DM76" s="60"/>
      <c r="DN76" s="60"/>
      <c r="DO76" s="60"/>
      <c r="DP76" s="60"/>
      <c r="DQ76" s="60"/>
      <c r="DR76" s="60"/>
      <c r="DS76" s="60"/>
      <c r="DT76" s="60"/>
      <c r="DU76" s="60"/>
      <c r="DV76" s="60"/>
      <c r="DW76" s="60"/>
      <c r="DX76" s="60"/>
      <c r="DY76" s="60"/>
      <c r="DZ76" s="60"/>
      <c r="EA76" s="60"/>
      <c r="EB76" s="60"/>
      <c r="EC76" s="60"/>
      <c r="ED76" s="60"/>
    </row>
    <row x14ac:dyDescent="0.25" r="77" customHeight="1" ht="18">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51"/>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c r="CA77" s="60"/>
      <c r="CB77" s="60"/>
      <c r="CC77" s="60"/>
      <c r="CD77" s="60"/>
      <c r="CE77" s="60"/>
      <c r="CF77" s="60"/>
      <c r="CG77" s="60"/>
      <c r="CH77" s="60"/>
      <c r="CI77" s="60"/>
      <c r="CJ77" s="60"/>
      <c r="CK77" s="60"/>
      <c r="CL77" s="60"/>
      <c r="CM77" s="60"/>
      <c r="CN77" s="60"/>
      <c r="CO77" s="60"/>
      <c r="CP77" s="60"/>
      <c r="CQ77" s="60"/>
      <c r="CR77" s="60"/>
      <c r="CS77" s="60"/>
      <c r="CT77" s="60"/>
      <c r="CU77" s="60"/>
      <c r="CV77" s="60"/>
      <c r="CW77" s="60"/>
      <c r="CX77" s="60"/>
      <c r="CY77" s="60"/>
      <c r="CZ77" s="60"/>
      <c r="DA77" s="60"/>
      <c r="DB77" s="60"/>
      <c r="DC77" s="60"/>
      <c r="DD77" s="60"/>
      <c r="DE77" s="60"/>
      <c r="DF77" s="60"/>
      <c r="DG77" s="60"/>
      <c r="DH77" s="60"/>
      <c r="DI77" s="60"/>
      <c r="DJ77" s="60"/>
      <c r="DK77" s="60"/>
      <c r="DL77" s="60"/>
      <c r="DM77" s="60"/>
      <c r="DN77" s="60"/>
      <c r="DO77" s="60"/>
      <c r="DP77" s="60"/>
      <c r="DQ77" s="60"/>
      <c r="DR77" s="60"/>
      <c r="DS77" s="60"/>
      <c r="DT77" s="60"/>
      <c r="DU77" s="60"/>
      <c r="DV77" s="60"/>
      <c r="DW77" s="60"/>
      <c r="DX77" s="60"/>
      <c r="DY77" s="60"/>
      <c r="DZ77" s="60"/>
      <c r="EA77" s="60"/>
      <c r="EB77" s="60"/>
      <c r="EC77" s="60"/>
      <c r="ED77" s="60"/>
    </row>
    <row x14ac:dyDescent="0.25" r="78" customHeight="1" ht="1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51"/>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0"/>
      <c r="BZ78" s="60"/>
      <c r="CA78" s="60"/>
      <c r="CB78" s="60"/>
      <c r="CC78" s="60"/>
      <c r="CD78" s="60"/>
      <c r="CE78" s="60"/>
      <c r="CF78" s="60"/>
      <c r="CG78" s="60"/>
      <c r="CH78" s="60"/>
      <c r="CI78" s="60"/>
      <c r="CJ78" s="60"/>
      <c r="CK78" s="60"/>
      <c r="CL78" s="60"/>
      <c r="CM78" s="60"/>
      <c r="CN78" s="60"/>
      <c r="CO78" s="60"/>
      <c r="CP78" s="60"/>
      <c r="CQ78" s="60"/>
      <c r="CR78" s="60"/>
      <c r="CS78" s="60"/>
      <c r="CT78" s="60"/>
      <c r="CU78" s="60"/>
      <c r="CV78" s="60"/>
      <c r="CW78" s="60"/>
      <c r="CX78" s="60"/>
      <c r="CY78" s="60"/>
      <c r="CZ78" s="60"/>
      <c r="DA78" s="60"/>
      <c r="DB78" s="60"/>
      <c r="DC78" s="60"/>
      <c r="DD78" s="60"/>
      <c r="DE78" s="60"/>
      <c r="DF78" s="60"/>
      <c r="DG78" s="60"/>
      <c r="DH78" s="60"/>
      <c r="DI78" s="60"/>
      <c r="DJ78" s="60"/>
      <c r="DK78" s="60"/>
      <c r="DL78" s="60"/>
      <c r="DM78" s="60"/>
      <c r="DN78" s="60"/>
      <c r="DO78" s="60"/>
      <c r="DP78" s="60"/>
      <c r="DQ78" s="60"/>
      <c r="DR78" s="60"/>
      <c r="DS78" s="60"/>
      <c r="DT78" s="60"/>
      <c r="DU78" s="60"/>
      <c r="DV78" s="60"/>
      <c r="DW78" s="60"/>
      <c r="DX78" s="60"/>
      <c r="DY78" s="60"/>
      <c r="DZ78" s="60"/>
      <c r="EA78" s="60"/>
      <c r="EB78" s="60"/>
      <c r="EC78" s="60"/>
      <c r="ED78" s="60"/>
    </row>
    <row x14ac:dyDescent="0.25" r="79" customHeight="1" ht="18">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51"/>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c r="CA79" s="60"/>
      <c r="CB79" s="60"/>
      <c r="CC79" s="60"/>
      <c r="CD79" s="60"/>
      <c r="CE79" s="60"/>
      <c r="CF79" s="60"/>
      <c r="CG79" s="60"/>
      <c r="CH79" s="60"/>
      <c r="CI79" s="60"/>
      <c r="CJ79" s="60"/>
      <c r="CK79" s="60"/>
      <c r="CL79" s="60"/>
      <c r="CM79" s="60"/>
      <c r="CN79" s="60"/>
      <c r="CO79" s="60"/>
      <c r="CP79" s="60"/>
      <c r="CQ79" s="60"/>
      <c r="CR79" s="60"/>
      <c r="CS79" s="60"/>
      <c r="CT79" s="60"/>
      <c r="CU79" s="60"/>
      <c r="CV79" s="60"/>
      <c r="CW79" s="60"/>
      <c r="CX79" s="60"/>
      <c r="CY79" s="60"/>
      <c r="CZ79" s="60"/>
      <c r="DA79" s="60"/>
      <c r="DB79" s="60"/>
      <c r="DC79" s="60"/>
      <c r="DD79" s="60"/>
      <c r="DE79" s="60"/>
      <c r="DF79" s="60"/>
      <c r="DG79" s="60"/>
      <c r="DH79" s="60"/>
      <c r="DI79" s="60"/>
      <c r="DJ79" s="60"/>
      <c r="DK79" s="60"/>
      <c r="DL79" s="60"/>
      <c r="DM79" s="60"/>
      <c r="DN79" s="60"/>
      <c r="DO79" s="60"/>
      <c r="DP79" s="60"/>
      <c r="DQ79" s="60"/>
      <c r="DR79" s="60"/>
      <c r="DS79" s="60"/>
      <c r="DT79" s="60"/>
      <c r="DU79" s="60"/>
      <c r="DV79" s="60"/>
      <c r="DW79" s="60"/>
      <c r="DX79" s="60"/>
      <c r="DY79" s="60"/>
      <c r="DZ79" s="60"/>
      <c r="EA79" s="60"/>
      <c r="EB79" s="60"/>
      <c r="EC79" s="60"/>
      <c r="ED79" s="60"/>
    </row>
    <row x14ac:dyDescent="0.25" r="80" customHeight="1" ht="18">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51"/>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0"/>
      <c r="BZ80" s="60"/>
      <c r="CA80" s="60"/>
      <c r="CB80" s="60"/>
      <c r="CC80" s="60"/>
      <c r="CD80" s="60"/>
      <c r="CE80" s="60"/>
      <c r="CF80" s="60"/>
      <c r="CG80" s="60"/>
      <c r="CH80" s="60"/>
      <c r="CI80" s="60"/>
      <c r="CJ80" s="60"/>
      <c r="CK80" s="60"/>
      <c r="CL80" s="60"/>
      <c r="CM80" s="60"/>
      <c r="CN80" s="60"/>
      <c r="CO80" s="60"/>
      <c r="CP80" s="60"/>
      <c r="CQ80" s="60"/>
      <c r="CR80" s="60"/>
      <c r="CS80" s="60"/>
      <c r="CT80" s="60"/>
      <c r="CU80" s="60"/>
      <c r="CV80" s="60"/>
      <c r="CW80" s="60"/>
      <c r="CX80" s="60"/>
      <c r="CY80" s="60"/>
      <c r="CZ80" s="60"/>
      <c r="DA80" s="60"/>
      <c r="DB80" s="60"/>
      <c r="DC80" s="60"/>
      <c r="DD80" s="60"/>
      <c r="DE80" s="60"/>
      <c r="DF80" s="60"/>
      <c r="DG80" s="60"/>
      <c r="DH80" s="60"/>
      <c r="DI80" s="60"/>
      <c r="DJ80" s="60"/>
      <c r="DK80" s="60"/>
      <c r="DL80" s="60"/>
      <c r="DM80" s="60"/>
      <c r="DN80" s="60"/>
      <c r="DO80" s="60"/>
      <c r="DP80" s="60"/>
      <c r="DQ80" s="60"/>
      <c r="DR80" s="60"/>
      <c r="DS80" s="60"/>
      <c r="DT80" s="60"/>
      <c r="DU80" s="60"/>
      <c r="DV80" s="60"/>
      <c r="DW80" s="60"/>
      <c r="DX80" s="60"/>
      <c r="DY80" s="60"/>
      <c r="DZ80" s="60"/>
      <c r="EA80" s="60"/>
      <c r="EB80" s="60"/>
      <c r="EC80" s="60"/>
      <c r="ED80" s="60"/>
    </row>
    <row x14ac:dyDescent="0.25" r="81" customHeight="1" ht="18">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51"/>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c r="BN81" s="60"/>
      <c r="BO81" s="60"/>
      <c r="BP81" s="60"/>
      <c r="BQ81" s="60"/>
      <c r="BR81" s="60"/>
      <c r="BS81" s="60"/>
      <c r="BT81" s="60"/>
      <c r="BU81" s="60"/>
      <c r="BV81" s="60"/>
      <c r="BW81" s="60"/>
      <c r="BX81" s="60"/>
      <c r="BY81" s="60"/>
      <c r="BZ81" s="60"/>
      <c r="CA81" s="60"/>
      <c r="CB81" s="60"/>
      <c r="CC81" s="60"/>
      <c r="CD81" s="60"/>
      <c r="CE81" s="60"/>
      <c r="CF81" s="60"/>
      <c r="CG81" s="60"/>
      <c r="CH81" s="60"/>
      <c r="CI81" s="60"/>
      <c r="CJ81" s="60"/>
      <c r="CK81" s="60"/>
      <c r="CL81" s="60"/>
      <c r="CM81" s="60"/>
      <c r="CN81" s="60"/>
      <c r="CO81" s="60"/>
      <c r="CP81" s="60"/>
      <c r="CQ81" s="60"/>
      <c r="CR81" s="60"/>
      <c r="CS81" s="60"/>
      <c r="CT81" s="60"/>
      <c r="CU81" s="60"/>
      <c r="CV81" s="60"/>
      <c r="CW81" s="60"/>
      <c r="CX81" s="60"/>
      <c r="CY81" s="60"/>
      <c r="CZ81" s="60"/>
      <c r="DA81" s="60"/>
      <c r="DB81" s="60"/>
      <c r="DC81" s="60"/>
      <c r="DD81" s="60"/>
      <c r="DE81" s="60"/>
      <c r="DF81" s="60"/>
      <c r="DG81" s="60"/>
      <c r="DH81" s="60"/>
      <c r="DI81" s="60"/>
      <c r="DJ81" s="60"/>
      <c r="DK81" s="60"/>
      <c r="DL81" s="60"/>
      <c r="DM81" s="60"/>
      <c r="DN81" s="60"/>
      <c r="DO81" s="60"/>
      <c r="DP81" s="60"/>
      <c r="DQ81" s="60"/>
      <c r="DR81" s="60"/>
      <c r="DS81" s="60"/>
      <c r="DT81" s="60"/>
      <c r="DU81" s="60"/>
      <c r="DV81" s="60"/>
      <c r="DW81" s="60"/>
      <c r="DX81" s="60"/>
      <c r="DY81" s="60"/>
      <c r="DZ81" s="60"/>
      <c r="EA81" s="60"/>
      <c r="EB81" s="60"/>
      <c r="EC81" s="60"/>
      <c r="ED81" s="60"/>
    </row>
    <row x14ac:dyDescent="0.25" r="82" customHeight="1" ht="18">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51"/>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0"/>
      <c r="BG82" s="60"/>
      <c r="BH82" s="60"/>
      <c r="BI82" s="60"/>
      <c r="BJ82" s="60"/>
      <c r="BK82" s="60"/>
      <c r="BL82" s="60"/>
      <c r="BM82" s="60"/>
      <c r="BN82" s="60"/>
      <c r="BO82" s="60"/>
      <c r="BP82" s="60"/>
      <c r="BQ82" s="60"/>
      <c r="BR82" s="60"/>
      <c r="BS82" s="60"/>
      <c r="BT82" s="60"/>
      <c r="BU82" s="60"/>
      <c r="BV82" s="60"/>
      <c r="BW82" s="60"/>
      <c r="BX82" s="60"/>
      <c r="BY82" s="60"/>
      <c r="BZ82" s="60"/>
      <c r="CA82" s="60"/>
      <c r="CB82" s="60"/>
      <c r="CC82" s="60"/>
      <c r="CD82" s="60"/>
      <c r="CE82" s="60"/>
      <c r="CF82" s="60"/>
      <c r="CG82" s="60"/>
      <c r="CH82" s="60"/>
      <c r="CI82" s="60"/>
      <c r="CJ82" s="60"/>
      <c r="CK82" s="60"/>
      <c r="CL82" s="60"/>
      <c r="CM82" s="60"/>
      <c r="CN82" s="60"/>
      <c r="CO82" s="60"/>
      <c r="CP82" s="60"/>
      <c r="CQ82" s="60"/>
      <c r="CR82" s="60"/>
      <c r="CS82" s="60"/>
      <c r="CT82" s="60"/>
      <c r="CU82" s="60"/>
      <c r="CV82" s="60"/>
      <c r="CW82" s="60"/>
      <c r="CX82" s="60"/>
      <c r="CY82" s="60"/>
      <c r="CZ82" s="60"/>
      <c r="DA82" s="60"/>
      <c r="DB82" s="60"/>
      <c r="DC82" s="60"/>
      <c r="DD82" s="60"/>
      <c r="DE82" s="60"/>
      <c r="DF82" s="60"/>
      <c r="DG82" s="60"/>
      <c r="DH82" s="60"/>
      <c r="DI82" s="60"/>
      <c r="DJ82" s="60"/>
      <c r="DK82" s="60"/>
      <c r="DL82" s="60"/>
      <c r="DM82" s="60"/>
      <c r="DN82" s="60"/>
      <c r="DO82" s="60"/>
      <c r="DP82" s="60"/>
      <c r="DQ82" s="60"/>
      <c r="DR82" s="60"/>
      <c r="DS82" s="60"/>
      <c r="DT82" s="60"/>
      <c r="DU82" s="60"/>
      <c r="DV82" s="60"/>
      <c r="DW82" s="60"/>
      <c r="DX82" s="60"/>
      <c r="DY82" s="60"/>
      <c r="DZ82" s="60"/>
      <c r="EA82" s="60"/>
      <c r="EB82" s="60"/>
      <c r="EC82" s="60"/>
      <c r="ED82" s="60"/>
    </row>
    <row x14ac:dyDescent="0.25" r="83" customHeight="1" ht="18">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51"/>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0"/>
      <c r="BG83" s="60"/>
      <c r="BH83" s="60"/>
      <c r="BI83" s="60"/>
      <c r="BJ83" s="60"/>
      <c r="BK83" s="60"/>
      <c r="BL83" s="60"/>
      <c r="BM83" s="60"/>
      <c r="BN83" s="60"/>
      <c r="BO83" s="60"/>
      <c r="BP83" s="60"/>
      <c r="BQ83" s="60"/>
      <c r="BR83" s="60"/>
      <c r="BS83" s="60"/>
      <c r="BT83" s="60"/>
      <c r="BU83" s="60"/>
      <c r="BV83" s="60"/>
      <c r="BW83" s="60"/>
      <c r="BX83" s="60"/>
      <c r="BY83" s="60"/>
      <c r="BZ83" s="60"/>
      <c r="CA83" s="60"/>
      <c r="CB83" s="60"/>
      <c r="CC83" s="60"/>
      <c r="CD83" s="60"/>
      <c r="CE83" s="60"/>
      <c r="CF83" s="60"/>
      <c r="CG83" s="60"/>
      <c r="CH83" s="60"/>
      <c r="CI83" s="60"/>
      <c r="CJ83" s="60"/>
      <c r="CK83" s="60"/>
      <c r="CL83" s="60"/>
      <c r="CM83" s="60"/>
      <c r="CN83" s="60"/>
      <c r="CO83" s="60"/>
      <c r="CP83" s="60"/>
      <c r="CQ83" s="60"/>
      <c r="CR83" s="60"/>
      <c r="CS83" s="60"/>
      <c r="CT83" s="60"/>
      <c r="CU83" s="60"/>
      <c r="CV83" s="60"/>
      <c r="CW83" s="60"/>
      <c r="CX83" s="60"/>
      <c r="CY83" s="60"/>
      <c r="CZ83" s="60"/>
      <c r="DA83" s="60"/>
      <c r="DB83" s="60"/>
      <c r="DC83" s="60"/>
      <c r="DD83" s="60"/>
      <c r="DE83" s="60"/>
      <c r="DF83" s="60"/>
      <c r="DG83" s="60"/>
      <c r="DH83" s="60"/>
      <c r="DI83" s="60"/>
      <c r="DJ83" s="60"/>
      <c r="DK83" s="60"/>
      <c r="DL83" s="60"/>
      <c r="DM83" s="60"/>
      <c r="DN83" s="60"/>
      <c r="DO83" s="60"/>
      <c r="DP83" s="60"/>
      <c r="DQ83" s="60"/>
      <c r="DR83" s="60"/>
      <c r="DS83" s="60"/>
      <c r="DT83" s="60"/>
      <c r="DU83" s="60"/>
      <c r="DV83" s="60"/>
      <c r="DW83" s="60"/>
      <c r="DX83" s="60"/>
      <c r="DY83" s="60"/>
      <c r="DZ83" s="60"/>
      <c r="EA83" s="60"/>
      <c r="EB83" s="60"/>
      <c r="EC83" s="60"/>
      <c r="ED83" s="60"/>
    </row>
    <row x14ac:dyDescent="0.25" r="84" customHeight="1" ht="18">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51"/>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c r="BI84" s="60"/>
      <c r="BJ84" s="60"/>
      <c r="BK84" s="60"/>
      <c r="BL84" s="60"/>
      <c r="BM84" s="60"/>
      <c r="BN84" s="60"/>
      <c r="BO84" s="60"/>
      <c r="BP84" s="60"/>
      <c r="BQ84" s="60"/>
      <c r="BR84" s="60"/>
      <c r="BS84" s="60"/>
      <c r="BT84" s="60"/>
      <c r="BU84" s="60"/>
      <c r="BV84" s="60"/>
      <c r="BW84" s="60"/>
      <c r="BX84" s="60"/>
      <c r="BY84" s="60"/>
      <c r="BZ84" s="60"/>
      <c r="CA84" s="60"/>
      <c r="CB84" s="60"/>
      <c r="CC84" s="60"/>
      <c r="CD84" s="60"/>
      <c r="CE84" s="60"/>
      <c r="CF84" s="60"/>
      <c r="CG84" s="60"/>
      <c r="CH84" s="60"/>
      <c r="CI84" s="60"/>
      <c r="CJ84" s="60"/>
      <c r="CK84" s="60"/>
      <c r="CL84" s="60"/>
      <c r="CM84" s="60"/>
      <c r="CN84" s="60"/>
      <c r="CO84" s="60"/>
      <c r="CP84" s="60"/>
      <c r="CQ84" s="60"/>
      <c r="CR84" s="60"/>
      <c r="CS84" s="60"/>
      <c r="CT84" s="60"/>
      <c r="CU84" s="60"/>
      <c r="CV84" s="60"/>
      <c r="CW84" s="60"/>
      <c r="CX84" s="60"/>
      <c r="CY84" s="60"/>
      <c r="CZ84" s="60"/>
      <c r="DA84" s="60"/>
      <c r="DB84" s="60"/>
      <c r="DC84" s="60"/>
      <c r="DD84" s="60"/>
      <c r="DE84" s="60"/>
      <c r="DF84" s="60"/>
      <c r="DG84" s="60"/>
      <c r="DH84" s="60"/>
      <c r="DI84" s="60"/>
      <c r="DJ84" s="60"/>
      <c r="DK84" s="60"/>
      <c r="DL84" s="60"/>
      <c r="DM84" s="60"/>
      <c r="DN84" s="60"/>
      <c r="DO84" s="60"/>
      <c r="DP84" s="60"/>
      <c r="DQ84" s="60"/>
      <c r="DR84" s="60"/>
      <c r="DS84" s="60"/>
      <c r="DT84" s="60"/>
      <c r="DU84" s="60"/>
      <c r="DV84" s="60"/>
      <c r="DW84" s="60"/>
      <c r="DX84" s="60"/>
      <c r="DY84" s="60"/>
      <c r="DZ84" s="60"/>
      <c r="EA84" s="60"/>
      <c r="EB84" s="60"/>
      <c r="EC84" s="60"/>
      <c r="ED84" s="60"/>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Export Summary</vt:lpstr>
      <vt:lpstr>File naming convention</vt:lpstr>
      <vt:lpstr>Mapping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2026-01-14T16:31:35.465Z</dcterms:created>
  <dcterms:modified xsi:type="dcterms:W3CDTF">2026-01-14T16:31:35.465Z</dcterms:modified>
</cp:coreProperties>
</file>